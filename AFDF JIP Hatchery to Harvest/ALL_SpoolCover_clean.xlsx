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akorabik/Desktop/1 H2H/ANALYSIS/H2H/data/data for AFDF/"/>
    </mc:Choice>
  </mc:AlternateContent>
  <xr:revisionPtr revIDLastSave="0" documentId="13_ncr:1_{2C628633-9473-6946-BA76-DC4D3B087161}" xr6:coauthVersionLast="47" xr6:coauthVersionMax="47" xr10:uidLastSave="{00000000-0000-0000-0000-000000000000}"/>
  <bookViews>
    <workbookView xWindow="14800" yWindow="880" windowWidth="19660" windowHeight="20080" xr2:uid="{078280BA-9472-4047-A729-3E1B3F909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5" i="1" l="1"/>
  <c r="K205" i="1" s="1"/>
  <c r="D205" i="1"/>
  <c r="J204" i="1"/>
  <c r="K204" i="1" s="1"/>
  <c r="D204" i="1"/>
  <c r="J203" i="1"/>
  <c r="K203" i="1" s="1"/>
  <c r="D203" i="1"/>
  <c r="J202" i="1"/>
  <c r="K202" i="1" s="1"/>
  <c r="D202" i="1"/>
  <c r="K201" i="1"/>
  <c r="D201" i="1"/>
  <c r="K200" i="1"/>
  <c r="D200" i="1"/>
  <c r="J199" i="1"/>
  <c r="K199" i="1" s="1"/>
  <c r="D199" i="1"/>
  <c r="K198" i="1"/>
  <c r="D198" i="1"/>
  <c r="K197" i="1"/>
  <c r="D197" i="1"/>
  <c r="I196" i="1"/>
  <c r="K196" i="1" s="1"/>
  <c r="D196" i="1"/>
  <c r="J195" i="1"/>
  <c r="K195" i="1" s="1"/>
  <c r="D195" i="1"/>
  <c r="J194" i="1"/>
  <c r="K194" i="1" s="1"/>
  <c r="D194" i="1"/>
  <c r="I193" i="1"/>
  <c r="K193" i="1" s="1"/>
  <c r="D193" i="1"/>
  <c r="I192" i="1"/>
  <c r="K192" i="1" s="1"/>
  <c r="D192" i="1"/>
  <c r="K191" i="1"/>
  <c r="D191" i="1"/>
  <c r="J190" i="1"/>
  <c r="K190" i="1" s="1"/>
  <c r="D190" i="1"/>
  <c r="J189" i="1"/>
  <c r="K189" i="1" s="1"/>
  <c r="D189" i="1"/>
  <c r="K188" i="1"/>
  <c r="D188" i="1"/>
  <c r="J187" i="1"/>
  <c r="K187" i="1" s="1"/>
  <c r="D187" i="1"/>
  <c r="J186" i="1"/>
  <c r="K186" i="1" s="1"/>
  <c r="D186" i="1"/>
  <c r="J185" i="1"/>
  <c r="K185" i="1" s="1"/>
  <c r="D185" i="1"/>
  <c r="K184" i="1"/>
  <c r="D184" i="1"/>
  <c r="K183" i="1"/>
  <c r="D183" i="1"/>
  <c r="K182" i="1"/>
  <c r="D182" i="1"/>
  <c r="K181" i="1"/>
  <c r="D181" i="1"/>
  <c r="K180" i="1"/>
  <c r="D180" i="1"/>
  <c r="K179" i="1"/>
  <c r="D179" i="1"/>
  <c r="K178" i="1"/>
  <c r="D178" i="1"/>
  <c r="K177" i="1"/>
  <c r="D177" i="1"/>
  <c r="K176" i="1"/>
  <c r="D176" i="1"/>
  <c r="K175" i="1"/>
  <c r="D175" i="1"/>
  <c r="K174" i="1"/>
  <c r="D174" i="1"/>
  <c r="K173" i="1"/>
  <c r="D173" i="1"/>
  <c r="K172" i="1"/>
  <c r="D172" i="1"/>
  <c r="K171" i="1"/>
  <c r="D171" i="1"/>
  <c r="K170" i="1"/>
  <c r="D170" i="1"/>
  <c r="K169" i="1"/>
  <c r="D169" i="1"/>
  <c r="C169" i="1"/>
  <c r="K168" i="1"/>
  <c r="D168" i="1"/>
  <c r="C168" i="1"/>
  <c r="K167" i="1"/>
  <c r="D167" i="1"/>
  <c r="C167" i="1"/>
  <c r="K166" i="1"/>
  <c r="D166" i="1"/>
  <c r="C166" i="1"/>
  <c r="K165" i="1"/>
  <c r="D165" i="1"/>
  <c r="C165" i="1"/>
  <c r="K164" i="1"/>
  <c r="D164" i="1"/>
  <c r="C164" i="1"/>
  <c r="K163" i="1"/>
  <c r="D163" i="1"/>
  <c r="C163" i="1"/>
  <c r="K162" i="1"/>
  <c r="D162" i="1"/>
  <c r="C162" i="1"/>
  <c r="K161" i="1"/>
  <c r="D161" i="1"/>
  <c r="C161" i="1"/>
  <c r="K160" i="1"/>
  <c r="D160" i="1"/>
  <c r="C160" i="1"/>
  <c r="K159" i="1"/>
  <c r="D159" i="1"/>
  <c r="C159" i="1"/>
  <c r="K158" i="1"/>
  <c r="D158" i="1"/>
  <c r="C158" i="1"/>
  <c r="K157" i="1"/>
  <c r="D157" i="1"/>
  <c r="C157" i="1"/>
  <c r="K156" i="1"/>
  <c r="D156" i="1"/>
  <c r="C156" i="1"/>
  <c r="K155" i="1"/>
  <c r="D155" i="1"/>
  <c r="C155" i="1"/>
  <c r="K154" i="1"/>
  <c r="D154" i="1"/>
  <c r="C154" i="1"/>
  <c r="K153" i="1"/>
  <c r="D153" i="1"/>
  <c r="C153" i="1"/>
  <c r="K152" i="1"/>
  <c r="D152" i="1"/>
  <c r="C152" i="1"/>
  <c r="K151" i="1"/>
  <c r="D151" i="1"/>
  <c r="C151" i="1"/>
  <c r="K150" i="1"/>
  <c r="D150" i="1"/>
  <c r="C150" i="1"/>
  <c r="K149" i="1"/>
  <c r="D149" i="1"/>
  <c r="C149" i="1"/>
  <c r="K148" i="1"/>
  <c r="D148" i="1"/>
  <c r="C148" i="1"/>
  <c r="K147" i="1"/>
  <c r="D147" i="1"/>
  <c r="C147" i="1"/>
  <c r="K146" i="1"/>
  <c r="D146" i="1"/>
  <c r="C146" i="1"/>
  <c r="K145" i="1"/>
  <c r="D145" i="1"/>
  <c r="C145" i="1"/>
  <c r="K144" i="1"/>
  <c r="D144" i="1"/>
  <c r="C144" i="1"/>
  <c r="K143" i="1"/>
  <c r="D143" i="1"/>
  <c r="C143" i="1"/>
  <c r="K142" i="1"/>
  <c r="D142" i="1"/>
  <c r="C142" i="1"/>
  <c r="K141" i="1"/>
  <c r="D141" i="1"/>
  <c r="C141" i="1"/>
  <c r="K140" i="1"/>
  <c r="D140" i="1"/>
  <c r="C140" i="1"/>
  <c r="K139" i="1"/>
  <c r="D139" i="1"/>
  <c r="C139" i="1"/>
  <c r="K138" i="1"/>
  <c r="D138" i="1"/>
  <c r="C138" i="1"/>
  <c r="K137" i="1"/>
  <c r="D137" i="1"/>
  <c r="C137" i="1"/>
  <c r="K136" i="1"/>
  <c r="D136" i="1"/>
  <c r="C136" i="1"/>
  <c r="K135" i="1"/>
  <c r="D135" i="1"/>
  <c r="C135" i="1"/>
  <c r="K134" i="1"/>
  <c r="D134" i="1"/>
  <c r="C134" i="1"/>
  <c r="K133" i="1"/>
  <c r="D133" i="1"/>
  <c r="C133" i="1"/>
  <c r="K132" i="1"/>
  <c r="D132" i="1"/>
  <c r="C132" i="1"/>
  <c r="K131" i="1"/>
  <c r="D131" i="1"/>
  <c r="C131" i="1"/>
  <c r="K130" i="1"/>
  <c r="D130" i="1"/>
  <c r="C130" i="1"/>
  <c r="K129" i="1"/>
  <c r="D129" i="1"/>
  <c r="C129" i="1"/>
  <c r="K128" i="1"/>
  <c r="D128" i="1"/>
  <c r="C128" i="1"/>
  <c r="K127" i="1"/>
  <c r="D127" i="1"/>
  <c r="C127" i="1"/>
  <c r="K126" i="1"/>
  <c r="D126" i="1"/>
  <c r="C126" i="1"/>
  <c r="K125" i="1"/>
  <c r="D125" i="1"/>
  <c r="C125" i="1"/>
  <c r="K124" i="1"/>
  <c r="D124" i="1"/>
  <c r="C124" i="1"/>
  <c r="K123" i="1"/>
  <c r="D123" i="1"/>
  <c r="C123" i="1"/>
  <c r="K122" i="1"/>
  <c r="D122" i="1"/>
  <c r="C122" i="1"/>
  <c r="K121" i="1"/>
  <c r="D121" i="1"/>
  <c r="C121" i="1"/>
  <c r="K120" i="1"/>
  <c r="D120" i="1"/>
  <c r="C120" i="1"/>
  <c r="K119" i="1"/>
  <c r="D119" i="1"/>
  <c r="C119" i="1"/>
  <c r="K118" i="1"/>
  <c r="D118" i="1"/>
  <c r="C118" i="1"/>
  <c r="K117" i="1"/>
  <c r="D117" i="1"/>
  <c r="C117" i="1"/>
  <c r="K116" i="1"/>
  <c r="D116" i="1"/>
  <c r="C116" i="1"/>
  <c r="K115" i="1"/>
  <c r="D115" i="1"/>
  <c r="C115" i="1"/>
  <c r="K114" i="1"/>
  <c r="D114" i="1"/>
  <c r="C114" i="1"/>
  <c r="K113" i="1"/>
  <c r="D113" i="1"/>
  <c r="C113" i="1"/>
  <c r="K112" i="1"/>
  <c r="D112" i="1"/>
  <c r="C112" i="1"/>
  <c r="K111" i="1"/>
  <c r="D111" i="1"/>
  <c r="C111" i="1"/>
  <c r="K110" i="1"/>
  <c r="D110" i="1"/>
  <c r="C110" i="1"/>
  <c r="K109" i="1"/>
  <c r="D109" i="1"/>
  <c r="C109" i="1"/>
  <c r="K108" i="1"/>
  <c r="D108" i="1"/>
  <c r="C108" i="1"/>
  <c r="K107" i="1"/>
  <c r="D107" i="1"/>
  <c r="C107" i="1"/>
  <c r="K106" i="1"/>
  <c r="D106" i="1"/>
  <c r="C106" i="1"/>
  <c r="K105" i="1"/>
  <c r="D105" i="1"/>
  <c r="C105" i="1"/>
  <c r="K104" i="1"/>
  <c r="D104" i="1"/>
  <c r="C104" i="1"/>
  <c r="K103" i="1"/>
  <c r="D103" i="1"/>
  <c r="C103" i="1"/>
  <c r="K102" i="1"/>
  <c r="D102" i="1"/>
  <c r="C102" i="1"/>
  <c r="K101" i="1"/>
  <c r="D101" i="1"/>
  <c r="C101" i="1"/>
  <c r="K100" i="1"/>
  <c r="D100" i="1"/>
  <c r="C100" i="1"/>
  <c r="K99" i="1"/>
  <c r="D99" i="1"/>
  <c r="C99" i="1"/>
  <c r="K98" i="1"/>
  <c r="D98" i="1"/>
  <c r="C98" i="1"/>
  <c r="K97" i="1"/>
  <c r="D97" i="1"/>
  <c r="C97" i="1"/>
  <c r="K96" i="1"/>
  <c r="D96" i="1"/>
  <c r="C96" i="1"/>
  <c r="K95" i="1"/>
  <c r="D95" i="1"/>
  <c r="C95" i="1"/>
  <c r="K94" i="1"/>
  <c r="D94" i="1"/>
  <c r="C94" i="1"/>
  <c r="K93" i="1"/>
  <c r="D93" i="1"/>
  <c r="C93" i="1"/>
  <c r="K92" i="1"/>
  <c r="D92" i="1"/>
  <c r="C92" i="1"/>
  <c r="K91" i="1"/>
  <c r="D91" i="1"/>
  <c r="C91" i="1"/>
  <c r="K90" i="1"/>
  <c r="D90" i="1"/>
  <c r="C90" i="1"/>
  <c r="K89" i="1"/>
  <c r="D89" i="1"/>
  <c r="C89" i="1"/>
  <c r="K88" i="1"/>
  <c r="D88" i="1"/>
  <c r="C88" i="1"/>
  <c r="K87" i="1"/>
  <c r="D87" i="1"/>
  <c r="C87" i="1"/>
  <c r="K86" i="1"/>
  <c r="D86" i="1"/>
  <c r="C86" i="1"/>
  <c r="K85" i="1"/>
  <c r="D85" i="1"/>
  <c r="C85" i="1"/>
  <c r="K84" i="1"/>
  <c r="D84" i="1"/>
  <c r="C84" i="1"/>
  <c r="K83" i="1"/>
  <c r="D83" i="1"/>
  <c r="C83" i="1"/>
  <c r="K82" i="1"/>
  <c r="D82" i="1"/>
  <c r="C82" i="1"/>
  <c r="K81" i="1"/>
  <c r="D81" i="1"/>
  <c r="C81" i="1"/>
  <c r="K80" i="1"/>
  <c r="D80" i="1"/>
  <c r="C80" i="1"/>
  <c r="K79" i="1"/>
  <c r="D79" i="1"/>
  <c r="C79" i="1"/>
  <c r="K78" i="1"/>
  <c r="D78" i="1"/>
  <c r="C78" i="1"/>
  <c r="K77" i="1"/>
  <c r="D77" i="1"/>
  <c r="C77" i="1"/>
  <c r="K76" i="1"/>
  <c r="D76" i="1"/>
  <c r="C76" i="1"/>
  <c r="K75" i="1"/>
  <c r="D75" i="1"/>
  <c r="C75" i="1"/>
  <c r="K74" i="1"/>
  <c r="D74" i="1"/>
  <c r="C74" i="1"/>
  <c r="K73" i="1"/>
  <c r="D73" i="1"/>
  <c r="C73" i="1"/>
  <c r="K72" i="1"/>
  <c r="D72" i="1"/>
  <c r="C72" i="1"/>
  <c r="K71" i="1"/>
  <c r="D71" i="1"/>
  <c r="C71" i="1"/>
  <c r="K70" i="1"/>
  <c r="D70" i="1"/>
  <c r="C70" i="1"/>
  <c r="K69" i="1"/>
  <c r="D69" i="1"/>
  <c r="C69" i="1"/>
  <c r="K68" i="1"/>
  <c r="D68" i="1"/>
  <c r="C68" i="1"/>
  <c r="K67" i="1"/>
  <c r="D67" i="1"/>
  <c r="C67" i="1"/>
  <c r="K66" i="1"/>
  <c r="D66" i="1"/>
  <c r="C66" i="1"/>
  <c r="K65" i="1"/>
  <c r="D65" i="1"/>
  <c r="C65" i="1"/>
  <c r="K64" i="1"/>
  <c r="D64" i="1"/>
  <c r="C64" i="1"/>
  <c r="K63" i="1"/>
  <c r="D63" i="1"/>
  <c r="C63" i="1"/>
  <c r="K62" i="1"/>
  <c r="D62" i="1"/>
  <c r="C62" i="1"/>
  <c r="K61" i="1"/>
  <c r="D61" i="1"/>
  <c r="C61" i="1"/>
  <c r="K60" i="1"/>
  <c r="D60" i="1"/>
  <c r="C60" i="1"/>
  <c r="K59" i="1"/>
  <c r="D59" i="1"/>
  <c r="C59" i="1"/>
  <c r="K58" i="1"/>
  <c r="D58" i="1"/>
  <c r="C58" i="1"/>
  <c r="K57" i="1"/>
  <c r="D57" i="1"/>
  <c r="C57" i="1"/>
  <c r="K56" i="1"/>
  <c r="D56" i="1"/>
  <c r="C56" i="1"/>
  <c r="K55" i="1"/>
  <c r="D55" i="1"/>
  <c r="C55" i="1"/>
  <c r="K54" i="1"/>
  <c r="D54" i="1"/>
  <c r="C54" i="1"/>
  <c r="K53" i="1"/>
  <c r="D53" i="1"/>
  <c r="C53" i="1"/>
  <c r="K52" i="1"/>
  <c r="D52" i="1"/>
  <c r="C52" i="1"/>
  <c r="K51" i="1"/>
  <c r="D51" i="1"/>
  <c r="C51" i="1"/>
  <c r="K50" i="1"/>
  <c r="D50" i="1"/>
  <c r="C50" i="1"/>
  <c r="K49" i="1"/>
  <c r="D49" i="1"/>
  <c r="C49" i="1"/>
  <c r="K48" i="1"/>
  <c r="D48" i="1"/>
  <c r="C48" i="1"/>
  <c r="K47" i="1"/>
  <c r="D47" i="1"/>
  <c r="C47" i="1"/>
  <c r="K46" i="1"/>
  <c r="D46" i="1"/>
  <c r="C46" i="1"/>
  <c r="K45" i="1"/>
  <c r="D45" i="1"/>
  <c r="C45" i="1"/>
  <c r="K44" i="1"/>
  <c r="D44" i="1"/>
  <c r="C44" i="1"/>
  <c r="K43" i="1"/>
  <c r="D43" i="1"/>
  <c r="C43" i="1"/>
  <c r="K42" i="1"/>
  <c r="D42" i="1"/>
  <c r="C42" i="1"/>
  <c r="K41" i="1"/>
  <c r="D41" i="1"/>
  <c r="C41" i="1"/>
  <c r="K40" i="1"/>
  <c r="D40" i="1"/>
  <c r="C40" i="1"/>
  <c r="K39" i="1"/>
  <c r="D39" i="1"/>
  <c r="C39" i="1"/>
  <c r="K38" i="1"/>
  <c r="D38" i="1"/>
  <c r="C38" i="1"/>
  <c r="K37" i="1"/>
  <c r="D37" i="1"/>
  <c r="C37" i="1"/>
  <c r="K36" i="1"/>
  <c r="D36" i="1"/>
  <c r="C36" i="1"/>
  <c r="K35" i="1"/>
  <c r="D35" i="1"/>
  <c r="C35" i="1"/>
  <c r="K34" i="1"/>
  <c r="D34" i="1"/>
  <c r="C34" i="1"/>
  <c r="K33" i="1"/>
  <c r="D33" i="1"/>
  <c r="C33" i="1"/>
  <c r="K32" i="1"/>
  <c r="D32" i="1"/>
  <c r="C32" i="1"/>
  <c r="K31" i="1"/>
  <c r="D31" i="1"/>
  <c r="C31" i="1"/>
  <c r="K30" i="1"/>
  <c r="D30" i="1"/>
  <c r="C30" i="1"/>
  <c r="K29" i="1"/>
  <c r="D29" i="1"/>
  <c r="C29" i="1"/>
  <c r="K28" i="1"/>
  <c r="D28" i="1"/>
  <c r="C28" i="1"/>
  <c r="K27" i="1"/>
  <c r="D27" i="1"/>
  <c r="C27" i="1"/>
  <c r="K26" i="1"/>
  <c r="D26" i="1"/>
  <c r="C26" i="1"/>
  <c r="C3" i="1" l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C2" i="1"/>
  <c r="D2" i="1"/>
  <c r="K23" i="1"/>
  <c r="K24" i="1"/>
  <c r="K25" i="1"/>
</calcChain>
</file>

<file path=xl/sharedStrings.xml><?xml version="1.0" encoding="utf-8"?>
<sst xmlns="http://schemas.openxmlformats.org/spreadsheetml/2006/main" count="455" uniqueCount="61">
  <si>
    <t>Temp</t>
  </si>
  <si>
    <t>Light</t>
  </si>
  <si>
    <t>Spool</t>
  </si>
  <si>
    <t>cover</t>
  </si>
  <si>
    <t>empty</t>
  </si>
  <si>
    <t>A</t>
  </si>
  <si>
    <t>B</t>
  </si>
  <si>
    <t>C</t>
  </si>
  <si>
    <t>D</t>
  </si>
  <si>
    <t>Location</t>
  </si>
  <si>
    <t>Kodiak</t>
  </si>
  <si>
    <t>PhotoRep</t>
  </si>
  <si>
    <t>SpoolID</t>
  </si>
  <si>
    <t>Perc_cover</t>
  </si>
  <si>
    <t>PhotoID</t>
  </si>
  <si>
    <t>H</t>
  </si>
  <si>
    <t>F</t>
  </si>
  <si>
    <t>L</t>
  </si>
  <si>
    <t>G</t>
  </si>
  <si>
    <t>E</t>
  </si>
  <si>
    <t>K</t>
  </si>
  <si>
    <t>J</t>
  </si>
  <si>
    <t>I</t>
  </si>
  <si>
    <t>Year</t>
  </si>
  <si>
    <t>Juneau</t>
  </si>
  <si>
    <t>1A</t>
  </si>
  <si>
    <t>1B</t>
  </si>
  <si>
    <t>2A</t>
  </si>
  <si>
    <t>2A-2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</si>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</sst>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F7531-E1AF-483B-9F8F-0B980EB1E8E6}">
  <dimension ref="A1:K205"/>
  <sheetViews>
    <sheetView tabSelected="1" workbookViewId="0">
      <pane ySplit="1" topLeftCell="A208" activePane="bottomLeft" state="frozen"/>
      <selection pane="bottomLeft" activeCell="L1" sqref="L1:L1048576"/>
    </sheetView>
  </sheetViews>
  <sheetFormatPr baseColWidth="10" defaultColWidth="9.1640625" defaultRowHeight="15" x14ac:dyDescent="0.2"/>
  <cols>
    <col min="3" max="4" width="15.83203125" customWidth="1"/>
  </cols>
  <sheetData>
    <row r="1" spans="1:11" s="1" customFormat="1" x14ac:dyDescent="0.2">
      <c r="A1" s="1" t="s">
        <v>23</v>
      </c>
      <c r="B1" s="1" t="s">
        <v>9</v>
      </c>
      <c r="C1" s="1" t="s">
        <v>14</v>
      </c>
      <c r="D1" s="1" t="s">
        <v>12</v>
      </c>
      <c r="E1" s="1" t="s">
        <v>0</v>
      </c>
      <c r="F1" s="1" t="s">
        <v>1</v>
      </c>
      <c r="G1" s="1" t="s">
        <v>2</v>
      </c>
      <c r="H1" s="1" t="s">
        <v>11</v>
      </c>
      <c r="I1" s="1" t="s">
        <v>3</v>
      </c>
      <c r="J1" s="1" t="s">
        <v>4</v>
      </c>
      <c r="K1" s="1" t="s">
        <v>13</v>
      </c>
    </row>
    <row r="2" spans="1:11" x14ac:dyDescent="0.2">
      <c r="A2">
        <v>2026</v>
      </c>
      <c r="B2" t="s">
        <v>10</v>
      </c>
      <c r="C2" t="str">
        <f t="shared" ref="C2" si="0">E2&amp;"C"&amp;" "&amp;F2&amp;" "&amp;G2&amp;" "&amp;H2</f>
        <v>5C 3030 L 4924</v>
      </c>
      <c r="D2" t="str">
        <f t="shared" ref="D2" si="1">E2&amp;"C"&amp;" "&amp;F2&amp;" "&amp;G2</f>
        <v>5C 3030 L</v>
      </c>
      <c r="E2">
        <v>5</v>
      </c>
      <c r="F2">
        <v>3030</v>
      </c>
      <c r="G2" t="s">
        <v>17</v>
      </c>
      <c r="H2">
        <v>4924</v>
      </c>
      <c r="I2">
        <v>279204</v>
      </c>
      <c r="J2">
        <v>1652521</v>
      </c>
      <c r="K2">
        <f t="shared" ref="K2:K22" si="2">I2/(I2+J2)</f>
        <v>0.14453610115311444</v>
      </c>
    </row>
    <row r="3" spans="1:11" x14ac:dyDescent="0.2">
      <c r="A3">
        <v>2026</v>
      </c>
      <c r="B3" t="s">
        <v>10</v>
      </c>
      <c r="C3" t="str">
        <f t="shared" ref="C3:C25" si="3">E3&amp;"C"&amp;" "&amp;F3&amp;" "&amp;G3&amp;" "&amp;H3</f>
        <v>5C 3030 L 4925</v>
      </c>
      <c r="D3" t="str">
        <f t="shared" ref="D3:D25" si="4">E3&amp;"C"&amp;" "&amp;F3&amp;" "&amp;G3</f>
        <v>5C 3030 L</v>
      </c>
      <c r="E3">
        <v>5</v>
      </c>
      <c r="F3">
        <v>3030</v>
      </c>
      <c r="G3" t="s">
        <v>17</v>
      </c>
      <c r="H3">
        <v>4925</v>
      </c>
      <c r="I3">
        <v>151400</v>
      </c>
      <c r="J3">
        <v>1783606</v>
      </c>
      <c r="K3">
        <f t="shared" si="2"/>
        <v>7.8242651443974853E-2</v>
      </c>
    </row>
    <row r="4" spans="1:11" x14ac:dyDescent="0.2">
      <c r="A4">
        <v>2026</v>
      </c>
      <c r="B4" t="s">
        <v>10</v>
      </c>
      <c r="C4" t="str">
        <f t="shared" si="3"/>
        <v>5C 3030 F 4926</v>
      </c>
      <c r="D4" t="str">
        <f t="shared" si="4"/>
        <v>5C 3030 F</v>
      </c>
      <c r="E4">
        <v>5</v>
      </c>
      <c r="F4">
        <v>3030</v>
      </c>
      <c r="G4" t="s">
        <v>16</v>
      </c>
      <c r="H4">
        <v>4926</v>
      </c>
      <c r="I4">
        <v>546119</v>
      </c>
      <c r="J4">
        <v>1344972</v>
      </c>
      <c r="K4">
        <f t="shared" si="2"/>
        <v>0.2887851510054249</v>
      </c>
    </row>
    <row r="5" spans="1:11" x14ac:dyDescent="0.2">
      <c r="A5">
        <v>2026</v>
      </c>
      <c r="B5" t="s">
        <v>10</v>
      </c>
      <c r="C5" t="str">
        <f t="shared" si="3"/>
        <v>5C 3030 F 4927</v>
      </c>
      <c r="D5" t="str">
        <f t="shared" si="4"/>
        <v>5C 3030 F</v>
      </c>
      <c r="E5">
        <v>5</v>
      </c>
      <c r="F5">
        <v>3030</v>
      </c>
      <c r="G5" t="s">
        <v>16</v>
      </c>
      <c r="H5">
        <v>4927</v>
      </c>
      <c r="I5">
        <v>163894</v>
      </c>
      <c r="J5">
        <v>1844544</v>
      </c>
      <c r="K5">
        <f t="shared" si="2"/>
        <v>8.1602718132200242E-2</v>
      </c>
    </row>
    <row r="6" spans="1:11" x14ac:dyDescent="0.2">
      <c r="A6">
        <v>2026</v>
      </c>
      <c r="B6" t="s">
        <v>10</v>
      </c>
      <c r="C6" t="str">
        <f t="shared" si="3"/>
        <v>5C 6060 H 4928</v>
      </c>
      <c r="D6" t="str">
        <f t="shared" si="4"/>
        <v>5C 6060 H</v>
      </c>
      <c r="E6">
        <v>5</v>
      </c>
      <c r="F6">
        <v>6060</v>
      </c>
      <c r="G6" t="s">
        <v>15</v>
      </c>
      <c r="H6">
        <v>4928</v>
      </c>
      <c r="I6">
        <v>1414647</v>
      </c>
      <c r="J6">
        <v>422808</v>
      </c>
      <c r="K6">
        <f t="shared" si="2"/>
        <v>0.76989477293321473</v>
      </c>
    </row>
    <row r="7" spans="1:11" x14ac:dyDescent="0.2">
      <c r="A7">
        <v>2026</v>
      </c>
      <c r="B7" t="s">
        <v>10</v>
      </c>
      <c r="C7" t="str">
        <f t="shared" si="3"/>
        <v>5C 6060 H 4929</v>
      </c>
      <c r="D7" t="str">
        <f t="shared" si="4"/>
        <v>5C 6060 H</v>
      </c>
      <c r="E7">
        <v>5</v>
      </c>
      <c r="F7">
        <v>6060</v>
      </c>
      <c r="G7" t="s">
        <v>15</v>
      </c>
      <c r="H7">
        <v>4929</v>
      </c>
      <c r="I7">
        <v>313703</v>
      </c>
      <c r="J7">
        <v>1727599</v>
      </c>
      <c r="K7">
        <f t="shared" si="2"/>
        <v>0.15367789773389728</v>
      </c>
    </row>
    <row r="8" spans="1:11" x14ac:dyDescent="0.2">
      <c r="A8">
        <v>2026</v>
      </c>
      <c r="B8" t="s">
        <v>10</v>
      </c>
      <c r="C8" t="str">
        <f t="shared" si="3"/>
        <v>5C 6060 B 4930</v>
      </c>
      <c r="D8" t="str">
        <f t="shared" si="4"/>
        <v>5C 6060 B</v>
      </c>
      <c r="E8">
        <v>5</v>
      </c>
      <c r="F8">
        <v>6060</v>
      </c>
      <c r="G8" t="s">
        <v>6</v>
      </c>
      <c r="H8">
        <v>4930</v>
      </c>
      <c r="I8">
        <v>893878</v>
      </c>
      <c r="J8">
        <v>644530</v>
      </c>
      <c r="K8">
        <f t="shared" si="2"/>
        <v>0.58104092022402376</v>
      </c>
    </row>
    <row r="9" spans="1:11" x14ac:dyDescent="0.2">
      <c r="A9">
        <v>2026</v>
      </c>
      <c r="B9" t="s">
        <v>10</v>
      </c>
      <c r="C9" t="str">
        <f t="shared" si="3"/>
        <v>5C 6060 B 4931</v>
      </c>
      <c r="D9" t="str">
        <f t="shared" si="4"/>
        <v>5C 6060 B</v>
      </c>
      <c r="E9">
        <v>5</v>
      </c>
      <c r="F9">
        <v>6060</v>
      </c>
      <c r="G9" t="s">
        <v>6</v>
      </c>
      <c r="H9">
        <v>4931</v>
      </c>
      <c r="I9">
        <v>606870</v>
      </c>
      <c r="J9">
        <v>1077751</v>
      </c>
      <c r="K9">
        <f t="shared" si="2"/>
        <v>0.36024126494920816</v>
      </c>
    </row>
    <row r="10" spans="1:11" x14ac:dyDescent="0.2">
      <c r="A10">
        <v>2026</v>
      </c>
      <c r="B10" t="s">
        <v>10</v>
      </c>
      <c r="C10" t="str">
        <f t="shared" si="3"/>
        <v>8C 6060 A 4933</v>
      </c>
      <c r="D10" t="str">
        <f t="shared" si="4"/>
        <v>8C 6060 A</v>
      </c>
      <c r="E10">
        <v>8</v>
      </c>
      <c r="F10">
        <v>6060</v>
      </c>
      <c r="G10" t="s">
        <v>5</v>
      </c>
      <c r="H10">
        <v>4933</v>
      </c>
      <c r="I10">
        <v>362121</v>
      </c>
      <c r="J10">
        <v>2030450</v>
      </c>
      <c r="K10">
        <f t="shared" si="2"/>
        <v>0.15135224827183813</v>
      </c>
    </row>
    <row r="11" spans="1:11" x14ac:dyDescent="0.2">
      <c r="A11">
        <v>2026</v>
      </c>
      <c r="B11" t="s">
        <v>10</v>
      </c>
      <c r="C11" t="str">
        <f t="shared" si="3"/>
        <v>8C 6060 A 4932</v>
      </c>
      <c r="D11" t="str">
        <f t="shared" si="4"/>
        <v>8C 6060 A</v>
      </c>
      <c r="E11">
        <v>8</v>
      </c>
      <c r="F11">
        <v>6060</v>
      </c>
      <c r="G11" t="s">
        <v>5</v>
      </c>
      <c r="H11">
        <v>4932</v>
      </c>
      <c r="I11">
        <v>1368366</v>
      </c>
      <c r="J11">
        <v>1202161</v>
      </c>
      <c r="K11">
        <f t="shared" si="2"/>
        <v>0.53232897378630917</v>
      </c>
    </row>
    <row r="12" spans="1:11" x14ac:dyDescent="0.2">
      <c r="A12">
        <v>2026</v>
      </c>
      <c r="B12" t="s">
        <v>10</v>
      </c>
      <c r="C12" t="str">
        <f t="shared" si="3"/>
        <v>8C 6060 G 4934</v>
      </c>
      <c r="D12" t="str">
        <f t="shared" si="4"/>
        <v>8C 6060 G</v>
      </c>
      <c r="E12">
        <v>8</v>
      </c>
      <c r="F12">
        <v>6060</v>
      </c>
      <c r="G12" t="s">
        <v>18</v>
      </c>
      <c r="H12">
        <v>4934</v>
      </c>
      <c r="I12">
        <v>251797</v>
      </c>
      <c r="J12">
        <v>2071259</v>
      </c>
      <c r="K12">
        <f t="shared" si="2"/>
        <v>0.10839041331762989</v>
      </c>
    </row>
    <row r="13" spans="1:11" x14ac:dyDescent="0.2">
      <c r="A13">
        <v>2026</v>
      </c>
      <c r="B13" t="s">
        <v>10</v>
      </c>
      <c r="C13" t="str">
        <f t="shared" si="3"/>
        <v>8C 6060 G 4935</v>
      </c>
      <c r="D13" t="str">
        <f t="shared" si="4"/>
        <v>8C 6060 G</v>
      </c>
      <c r="E13">
        <v>8</v>
      </c>
      <c r="F13">
        <v>6060</v>
      </c>
      <c r="G13" t="s">
        <v>18</v>
      </c>
      <c r="H13">
        <v>4935</v>
      </c>
      <c r="I13">
        <v>321272</v>
      </c>
      <c r="J13">
        <v>2108272</v>
      </c>
      <c r="K13">
        <f t="shared" si="2"/>
        <v>0.1322355141540964</v>
      </c>
    </row>
    <row r="14" spans="1:11" x14ac:dyDescent="0.2">
      <c r="A14">
        <v>2026</v>
      </c>
      <c r="B14" t="s">
        <v>10</v>
      </c>
      <c r="C14" t="str">
        <f t="shared" si="3"/>
        <v>8C 3030 E 4936</v>
      </c>
      <c r="D14" t="str">
        <f t="shared" si="4"/>
        <v>8C 3030 E</v>
      </c>
      <c r="E14">
        <v>8</v>
      </c>
      <c r="F14">
        <v>3030</v>
      </c>
      <c r="G14" t="s">
        <v>19</v>
      </c>
      <c r="H14">
        <v>4936</v>
      </c>
      <c r="I14">
        <v>610031</v>
      </c>
      <c r="J14">
        <v>1233277</v>
      </c>
      <c r="K14">
        <f t="shared" si="2"/>
        <v>0.33094360790491878</v>
      </c>
    </row>
    <row r="15" spans="1:11" x14ac:dyDescent="0.2">
      <c r="A15">
        <v>2026</v>
      </c>
      <c r="B15" t="s">
        <v>10</v>
      </c>
      <c r="C15" t="str">
        <f t="shared" si="3"/>
        <v>8C 3030 E 4937</v>
      </c>
      <c r="D15" t="str">
        <f t="shared" si="4"/>
        <v>8C 3030 E</v>
      </c>
      <c r="E15">
        <v>8</v>
      </c>
      <c r="F15">
        <v>3030</v>
      </c>
      <c r="G15" t="s">
        <v>19</v>
      </c>
      <c r="H15">
        <v>4937</v>
      </c>
      <c r="I15">
        <v>80416</v>
      </c>
      <c r="J15">
        <v>1728519</v>
      </c>
      <c r="K15">
        <f t="shared" si="2"/>
        <v>4.4454886438705647E-2</v>
      </c>
    </row>
    <row r="16" spans="1:11" x14ac:dyDescent="0.2">
      <c r="A16">
        <v>2026</v>
      </c>
      <c r="B16" t="s">
        <v>10</v>
      </c>
      <c r="C16" t="str">
        <f t="shared" si="3"/>
        <v>8C 3030 K 4938</v>
      </c>
      <c r="D16" t="str">
        <f t="shared" si="4"/>
        <v>8C 3030 K</v>
      </c>
      <c r="E16">
        <v>8</v>
      </c>
      <c r="F16">
        <v>3030</v>
      </c>
      <c r="G16" t="s">
        <v>20</v>
      </c>
      <c r="H16">
        <v>4938</v>
      </c>
      <c r="I16">
        <v>374603</v>
      </c>
      <c r="J16">
        <v>1144464</v>
      </c>
      <c r="K16">
        <f t="shared" si="2"/>
        <v>0.24660070951445853</v>
      </c>
    </row>
    <row r="17" spans="1:11" x14ac:dyDescent="0.2">
      <c r="A17">
        <v>2026</v>
      </c>
      <c r="B17" t="s">
        <v>10</v>
      </c>
      <c r="C17" t="str">
        <f t="shared" si="3"/>
        <v>8C 3030 K 4939</v>
      </c>
      <c r="D17" t="str">
        <f t="shared" si="4"/>
        <v>8C 3030 K</v>
      </c>
      <c r="E17">
        <v>8</v>
      </c>
      <c r="F17">
        <v>3030</v>
      </c>
      <c r="G17" t="s">
        <v>20</v>
      </c>
      <c r="H17">
        <v>4939</v>
      </c>
      <c r="I17">
        <v>134304</v>
      </c>
      <c r="J17">
        <v>1547558</v>
      </c>
      <c r="K17">
        <f t="shared" si="2"/>
        <v>7.9854351902831508E-2</v>
      </c>
    </row>
    <row r="18" spans="1:11" x14ac:dyDescent="0.2">
      <c r="A18">
        <v>2026</v>
      </c>
      <c r="B18" t="s">
        <v>10</v>
      </c>
      <c r="C18" t="str">
        <f t="shared" si="3"/>
        <v>11C 3030 J 4940</v>
      </c>
      <c r="D18" t="str">
        <f t="shared" si="4"/>
        <v>11C 3030 J</v>
      </c>
      <c r="E18">
        <v>11</v>
      </c>
      <c r="F18">
        <v>3030</v>
      </c>
      <c r="G18" t="s">
        <v>21</v>
      </c>
      <c r="H18">
        <v>4940</v>
      </c>
      <c r="I18">
        <v>946126</v>
      </c>
      <c r="J18">
        <v>943649</v>
      </c>
      <c r="K18">
        <f t="shared" si="2"/>
        <v>0.50065536902541308</v>
      </c>
    </row>
    <row r="19" spans="1:11" x14ac:dyDescent="0.2">
      <c r="A19">
        <v>2026</v>
      </c>
      <c r="B19" t="s">
        <v>10</v>
      </c>
      <c r="C19" t="str">
        <f t="shared" si="3"/>
        <v>11C 3030 J 4941</v>
      </c>
      <c r="D19" t="str">
        <f t="shared" si="4"/>
        <v>11C 3030 J</v>
      </c>
      <c r="E19">
        <v>11</v>
      </c>
      <c r="F19">
        <v>3030</v>
      </c>
      <c r="G19" t="s">
        <v>21</v>
      </c>
      <c r="H19">
        <v>4941</v>
      </c>
      <c r="I19">
        <v>250205</v>
      </c>
      <c r="J19">
        <v>1549229</v>
      </c>
      <c r="K19">
        <f t="shared" si="2"/>
        <v>0.13904650017727796</v>
      </c>
    </row>
    <row r="20" spans="1:11" x14ac:dyDescent="0.2">
      <c r="A20">
        <v>2026</v>
      </c>
      <c r="B20" t="s">
        <v>10</v>
      </c>
      <c r="C20" t="str">
        <f t="shared" si="3"/>
        <v>11C 3030 D 4942</v>
      </c>
      <c r="D20" t="str">
        <f t="shared" si="4"/>
        <v>11C 3030 D</v>
      </c>
      <c r="E20">
        <v>11</v>
      </c>
      <c r="F20">
        <v>3030</v>
      </c>
      <c r="G20" t="s">
        <v>8</v>
      </c>
      <c r="H20">
        <v>4942</v>
      </c>
      <c r="I20">
        <v>424150</v>
      </c>
      <c r="J20">
        <v>1993666</v>
      </c>
      <c r="K20">
        <f t="shared" si="2"/>
        <v>0.17542691420687098</v>
      </c>
    </row>
    <row r="21" spans="1:11" x14ac:dyDescent="0.2">
      <c r="A21">
        <v>2026</v>
      </c>
      <c r="B21" t="s">
        <v>10</v>
      </c>
      <c r="C21" t="str">
        <f t="shared" si="3"/>
        <v>11C 3030 D 4943</v>
      </c>
      <c r="D21" t="str">
        <f t="shared" si="4"/>
        <v>11C 3030 D</v>
      </c>
      <c r="E21">
        <v>11</v>
      </c>
      <c r="F21">
        <v>3030</v>
      </c>
      <c r="G21" t="s">
        <v>8</v>
      </c>
      <c r="H21">
        <v>4943</v>
      </c>
      <c r="I21">
        <v>133140</v>
      </c>
      <c r="J21">
        <v>2286735</v>
      </c>
      <c r="K21">
        <f t="shared" si="2"/>
        <v>5.501937083527042E-2</v>
      </c>
    </row>
    <row r="22" spans="1:11" x14ac:dyDescent="0.2">
      <c r="A22">
        <v>2026</v>
      </c>
      <c r="B22" t="s">
        <v>10</v>
      </c>
      <c r="C22" t="str">
        <f t="shared" si="3"/>
        <v>11C 6060 C 4945</v>
      </c>
      <c r="D22" t="str">
        <f t="shared" si="4"/>
        <v>11C 6060 C</v>
      </c>
      <c r="E22">
        <v>11</v>
      </c>
      <c r="F22">
        <v>6060</v>
      </c>
      <c r="G22" t="s">
        <v>7</v>
      </c>
      <c r="H22">
        <v>4945</v>
      </c>
      <c r="I22">
        <v>349167</v>
      </c>
      <c r="J22">
        <v>1164877</v>
      </c>
      <c r="K22">
        <f t="shared" si="2"/>
        <v>0.23061879311301389</v>
      </c>
    </row>
    <row r="23" spans="1:11" x14ac:dyDescent="0.2">
      <c r="A23">
        <v>2026</v>
      </c>
      <c r="B23" t="s">
        <v>10</v>
      </c>
      <c r="C23" t="str">
        <f t="shared" si="3"/>
        <v>11C 6060 C 4946</v>
      </c>
      <c r="D23" t="str">
        <f t="shared" si="4"/>
        <v>11C 6060 C</v>
      </c>
      <c r="E23">
        <v>11</v>
      </c>
      <c r="F23">
        <v>6060</v>
      </c>
      <c r="G23" t="s">
        <v>7</v>
      </c>
      <c r="H23">
        <v>4946</v>
      </c>
      <c r="I23">
        <v>291561</v>
      </c>
      <c r="J23">
        <v>1686024</v>
      </c>
      <c r="K23">
        <f t="shared" ref="K23:K25" si="5">I23/(I23+J23)</f>
        <v>0.14743285370793163</v>
      </c>
    </row>
    <row r="24" spans="1:11" x14ac:dyDescent="0.2">
      <c r="A24">
        <v>2026</v>
      </c>
      <c r="B24" t="s">
        <v>10</v>
      </c>
      <c r="C24" t="str">
        <f t="shared" si="3"/>
        <v>11C 6060 I 4947</v>
      </c>
      <c r="D24" t="str">
        <f t="shared" si="4"/>
        <v>11C 6060 I</v>
      </c>
      <c r="E24">
        <v>11</v>
      </c>
      <c r="F24">
        <v>6060</v>
      </c>
      <c r="G24" t="s">
        <v>22</v>
      </c>
      <c r="H24">
        <v>4947</v>
      </c>
      <c r="I24">
        <v>966235</v>
      </c>
      <c r="J24">
        <v>846767</v>
      </c>
      <c r="K24">
        <f t="shared" si="5"/>
        <v>0.53294756431597978</v>
      </c>
    </row>
    <row r="25" spans="1:11" x14ac:dyDescent="0.2">
      <c r="A25">
        <v>2026</v>
      </c>
      <c r="B25" t="s">
        <v>10</v>
      </c>
      <c r="C25" t="str">
        <f t="shared" si="3"/>
        <v>11C 6060 I 4948</v>
      </c>
      <c r="D25" t="str">
        <f t="shared" si="4"/>
        <v>11C 6060 I</v>
      </c>
      <c r="E25">
        <v>11</v>
      </c>
      <c r="F25">
        <v>6060</v>
      </c>
      <c r="G25" t="s">
        <v>22</v>
      </c>
      <c r="H25">
        <v>4948</v>
      </c>
      <c r="I25">
        <v>235450</v>
      </c>
      <c r="J25">
        <v>1795773</v>
      </c>
      <c r="K25">
        <f t="shared" si="5"/>
        <v>0.11591538693683559</v>
      </c>
    </row>
    <row r="26" spans="1:11" x14ac:dyDescent="0.2">
      <c r="A26">
        <v>2025</v>
      </c>
      <c r="B26" t="s">
        <v>10</v>
      </c>
      <c r="C26" t="str">
        <f>E26&amp;"C"&amp;" "&amp;F26&amp;" "&amp;G26&amp;H26</f>
        <v>5C 2030 1A</v>
      </c>
      <c r="D26" t="str">
        <f>E26&amp;"C"&amp;" "&amp;F26&amp;" "&amp;G26</f>
        <v>5C 2030 1</v>
      </c>
      <c r="E26">
        <v>5</v>
      </c>
      <c r="F26">
        <v>2030</v>
      </c>
      <c r="G26">
        <v>1</v>
      </c>
      <c r="H26" t="s">
        <v>5</v>
      </c>
      <c r="I26">
        <v>246041</v>
      </c>
      <c r="J26">
        <v>184585</v>
      </c>
      <c r="K26">
        <f>I26/(I26+J26)</f>
        <v>0.57135658320677341</v>
      </c>
    </row>
    <row r="27" spans="1:11" x14ac:dyDescent="0.2">
      <c r="A27">
        <v>2025</v>
      </c>
      <c r="B27" t="s">
        <v>10</v>
      </c>
      <c r="C27" t="str">
        <f t="shared" ref="C27:C73" si="6">E27&amp;"C"&amp;" "&amp;F27&amp;" "&amp;G27&amp;H27</f>
        <v>5C 2030 1B</v>
      </c>
      <c r="D27" t="str">
        <f t="shared" ref="D27:D90" si="7">E27&amp;"C"&amp;" "&amp;F27&amp;" "&amp;G27</f>
        <v>5C 2030 1</v>
      </c>
      <c r="E27">
        <v>5</v>
      </c>
      <c r="F27">
        <v>2030</v>
      </c>
      <c r="G27">
        <v>1</v>
      </c>
      <c r="H27" t="s">
        <v>6</v>
      </c>
      <c r="I27">
        <v>341912</v>
      </c>
      <c r="J27">
        <v>114450</v>
      </c>
      <c r="K27">
        <f>I27/(I27+J27)</f>
        <v>0.74921224817140775</v>
      </c>
    </row>
    <row r="28" spans="1:11" x14ac:dyDescent="0.2">
      <c r="A28">
        <v>2025</v>
      </c>
      <c r="B28" t="s">
        <v>10</v>
      </c>
      <c r="C28" t="str">
        <f t="shared" si="6"/>
        <v>5C 2030 1C</v>
      </c>
      <c r="D28" t="str">
        <f t="shared" si="7"/>
        <v>5C 2030 1</v>
      </c>
      <c r="E28">
        <v>5</v>
      </c>
      <c r="F28">
        <v>2030</v>
      </c>
      <c r="G28">
        <v>1</v>
      </c>
      <c r="H28" t="s">
        <v>7</v>
      </c>
      <c r="I28">
        <v>339754</v>
      </c>
      <c r="J28">
        <v>26753</v>
      </c>
      <c r="K28">
        <f t="shared" ref="K28:K93" si="8">I28/(I28+J28)</f>
        <v>0.92700548693476525</v>
      </c>
    </row>
    <row r="29" spans="1:11" x14ac:dyDescent="0.2">
      <c r="A29">
        <v>2025</v>
      </c>
      <c r="B29" t="s">
        <v>10</v>
      </c>
      <c r="C29" t="str">
        <f t="shared" si="6"/>
        <v>5C 2030 1D</v>
      </c>
      <c r="D29" t="str">
        <f t="shared" si="7"/>
        <v>5C 2030 1</v>
      </c>
      <c r="E29">
        <v>5</v>
      </c>
      <c r="F29">
        <v>2030</v>
      </c>
      <c r="G29">
        <v>1</v>
      </c>
      <c r="H29" t="s">
        <v>8</v>
      </c>
      <c r="I29">
        <v>382031</v>
      </c>
      <c r="J29">
        <v>69848</v>
      </c>
      <c r="K29">
        <f t="shared" si="8"/>
        <v>0.84542764766674261</v>
      </c>
    </row>
    <row r="30" spans="1:11" x14ac:dyDescent="0.2">
      <c r="A30">
        <v>2025</v>
      </c>
      <c r="B30" t="s">
        <v>10</v>
      </c>
      <c r="C30" t="str">
        <f t="shared" si="6"/>
        <v>5C 2030 2A</v>
      </c>
      <c r="D30" t="str">
        <f t="shared" si="7"/>
        <v>5C 2030 2</v>
      </c>
      <c r="E30">
        <v>5</v>
      </c>
      <c r="F30">
        <v>2030</v>
      </c>
      <c r="G30">
        <v>2</v>
      </c>
      <c r="H30" t="s">
        <v>5</v>
      </c>
      <c r="I30">
        <v>332964</v>
      </c>
      <c r="J30">
        <v>121656</v>
      </c>
      <c r="K30">
        <f t="shared" si="8"/>
        <v>0.73240068628744881</v>
      </c>
    </row>
    <row r="31" spans="1:11" x14ac:dyDescent="0.2">
      <c r="A31">
        <v>2025</v>
      </c>
      <c r="B31" t="s">
        <v>10</v>
      </c>
      <c r="C31" t="str">
        <f t="shared" si="6"/>
        <v>5C 2030 2B</v>
      </c>
      <c r="D31" t="str">
        <f t="shared" si="7"/>
        <v>5C 2030 2</v>
      </c>
      <c r="E31">
        <v>5</v>
      </c>
      <c r="F31">
        <v>2030</v>
      </c>
      <c r="G31">
        <v>2</v>
      </c>
      <c r="H31" t="s">
        <v>6</v>
      </c>
      <c r="I31">
        <v>202367</v>
      </c>
      <c r="J31">
        <v>181461</v>
      </c>
      <c r="K31">
        <f t="shared" si="8"/>
        <v>0.52723355252873683</v>
      </c>
    </row>
    <row r="32" spans="1:11" x14ac:dyDescent="0.2">
      <c r="A32">
        <v>2025</v>
      </c>
      <c r="B32" t="s">
        <v>10</v>
      </c>
      <c r="C32" t="str">
        <f t="shared" si="6"/>
        <v>5C 2030 2C</v>
      </c>
      <c r="D32" t="str">
        <f t="shared" si="7"/>
        <v>5C 2030 2</v>
      </c>
      <c r="E32">
        <v>5</v>
      </c>
      <c r="F32">
        <v>2030</v>
      </c>
      <c r="G32">
        <v>2</v>
      </c>
      <c r="H32" t="s">
        <v>7</v>
      </c>
      <c r="I32">
        <v>336944</v>
      </c>
      <c r="J32">
        <v>59291</v>
      </c>
      <c r="K32">
        <f t="shared" si="8"/>
        <v>0.85036405163602413</v>
      </c>
    </row>
    <row r="33" spans="1:11" x14ac:dyDescent="0.2">
      <c r="A33">
        <v>2025</v>
      </c>
      <c r="B33" t="s">
        <v>10</v>
      </c>
      <c r="C33" t="str">
        <f t="shared" si="6"/>
        <v>5C 2030 2D</v>
      </c>
      <c r="D33" t="str">
        <f t="shared" si="7"/>
        <v>5C 2030 2</v>
      </c>
      <c r="E33">
        <v>5</v>
      </c>
      <c r="F33">
        <v>2030</v>
      </c>
      <c r="G33">
        <v>2</v>
      </c>
      <c r="H33" t="s">
        <v>8</v>
      </c>
      <c r="I33">
        <v>414637</v>
      </c>
      <c r="J33">
        <v>8521</v>
      </c>
      <c r="K33">
        <f t="shared" si="8"/>
        <v>0.97986331346683742</v>
      </c>
    </row>
    <row r="34" spans="1:11" x14ac:dyDescent="0.2">
      <c r="A34">
        <v>2025</v>
      </c>
      <c r="B34" t="s">
        <v>10</v>
      </c>
      <c r="C34" t="str">
        <f t="shared" si="6"/>
        <v>5C 2030 3A</v>
      </c>
      <c r="D34" t="str">
        <f t="shared" si="7"/>
        <v>5C 2030 3</v>
      </c>
      <c r="E34">
        <v>5</v>
      </c>
      <c r="F34">
        <v>2030</v>
      </c>
      <c r="G34">
        <v>3</v>
      </c>
      <c r="H34" t="s">
        <v>5</v>
      </c>
      <c r="I34">
        <v>270830</v>
      </c>
      <c r="J34">
        <v>166493</v>
      </c>
      <c r="K34">
        <f t="shared" si="8"/>
        <v>0.61929054726140631</v>
      </c>
    </row>
    <row r="35" spans="1:11" x14ac:dyDescent="0.2">
      <c r="A35">
        <v>2025</v>
      </c>
      <c r="B35" t="s">
        <v>10</v>
      </c>
      <c r="C35" t="str">
        <f t="shared" si="6"/>
        <v>5C 2030 3B</v>
      </c>
      <c r="D35" t="str">
        <f t="shared" si="7"/>
        <v>5C 2030 3</v>
      </c>
      <c r="E35">
        <v>5</v>
      </c>
      <c r="F35">
        <v>2030</v>
      </c>
      <c r="G35">
        <v>3</v>
      </c>
      <c r="H35" t="s">
        <v>6</v>
      </c>
      <c r="I35">
        <v>240523</v>
      </c>
      <c r="J35">
        <v>235857</v>
      </c>
      <c r="K35">
        <f t="shared" si="8"/>
        <v>0.50489735085435994</v>
      </c>
    </row>
    <row r="36" spans="1:11" x14ac:dyDescent="0.2">
      <c r="A36">
        <v>2025</v>
      </c>
      <c r="B36" t="s">
        <v>10</v>
      </c>
      <c r="C36" t="str">
        <f t="shared" si="6"/>
        <v>5C 2030 3C</v>
      </c>
      <c r="D36" t="str">
        <f t="shared" si="7"/>
        <v>5C 2030 3</v>
      </c>
      <c r="E36">
        <v>5</v>
      </c>
      <c r="F36">
        <v>2030</v>
      </c>
      <c r="G36">
        <v>3</v>
      </c>
      <c r="H36" t="s">
        <v>7</v>
      </c>
      <c r="I36">
        <v>348557</v>
      </c>
      <c r="J36">
        <v>87036</v>
      </c>
      <c r="K36">
        <f t="shared" si="8"/>
        <v>0.80018962655506398</v>
      </c>
    </row>
    <row r="37" spans="1:11" x14ac:dyDescent="0.2">
      <c r="A37">
        <v>2025</v>
      </c>
      <c r="B37" t="s">
        <v>10</v>
      </c>
      <c r="C37" t="str">
        <f t="shared" si="6"/>
        <v>5C 2030 3D</v>
      </c>
      <c r="D37" t="str">
        <f t="shared" si="7"/>
        <v>5C 2030 3</v>
      </c>
      <c r="E37">
        <v>5</v>
      </c>
      <c r="F37">
        <v>2030</v>
      </c>
      <c r="G37">
        <v>3</v>
      </c>
      <c r="H37" t="s">
        <v>8</v>
      </c>
      <c r="I37">
        <v>435102</v>
      </c>
      <c r="J37">
        <v>25934</v>
      </c>
      <c r="K37">
        <f t="shared" si="8"/>
        <v>0.94374842745468901</v>
      </c>
    </row>
    <row r="38" spans="1:11" x14ac:dyDescent="0.2">
      <c r="A38">
        <v>2025</v>
      </c>
      <c r="B38" t="s">
        <v>10</v>
      </c>
      <c r="C38" t="str">
        <f t="shared" si="6"/>
        <v>5C 3030 1A</v>
      </c>
      <c r="D38" t="str">
        <f t="shared" si="7"/>
        <v>5C 3030 1</v>
      </c>
      <c r="E38">
        <v>5</v>
      </c>
      <c r="F38">
        <v>3030</v>
      </c>
      <c r="G38">
        <v>1</v>
      </c>
      <c r="H38" t="s">
        <v>5</v>
      </c>
      <c r="I38">
        <v>415425</v>
      </c>
      <c r="J38">
        <v>2720</v>
      </c>
      <c r="K38">
        <f t="shared" si="8"/>
        <v>0.99349507945808269</v>
      </c>
    </row>
    <row r="39" spans="1:11" x14ac:dyDescent="0.2">
      <c r="A39">
        <v>2025</v>
      </c>
      <c r="B39" t="s">
        <v>10</v>
      </c>
      <c r="C39" t="str">
        <f t="shared" si="6"/>
        <v>5C 3030 1B</v>
      </c>
      <c r="D39" t="str">
        <f t="shared" si="7"/>
        <v>5C 3030 1</v>
      </c>
      <c r="E39">
        <v>5</v>
      </c>
      <c r="F39">
        <v>3030</v>
      </c>
      <c r="G39">
        <v>1</v>
      </c>
      <c r="H39" t="s">
        <v>6</v>
      </c>
      <c r="I39">
        <v>382211</v>
      </c>
      <c r="J39">
        <v>76069</v>
      </c>
      <c r="K39">
        <f t="shared" si="8"/>
        <v>0.83401195775508419</v>
      </c>
    </row>
    <row r="40" spans="1:11" x14ac:dyDescent="0.2">
      <c r="A40">
        <v>2025</v>
      </c>
      <c r="B40" t="s">
        <v>10</v>
      </c>
      <c r="C40" t="str">
        <f t="shared" si="6"/>
        <v>5C 3030 1C</v>
      </c>
      <c r="D40" t="str">
        <f t="shared" si="7"/>
        <v>5C 3030 1</v>
      </c>
      <c r="E40">
        <v>5</v>
      </c>
      <c r="F40">
        <v>3030</v>
      </c>
      <c r="G40">
        <v>1</v>
      </c>
      <c r="H40" t="s">
        <v>7</v>
      </c>
      <c r="I40">
        <v>368116</v>
      </c>
      <c r="J40">
        <v>136753</v>
      </c>
      <c r="K40">
        <f t="shared" si="8"/>
        <v>0.72913171535586463</v>
      </c>
    </row>
    <row r="41" spans="1:11" x14ac:dyDescent="0.2">
      <c r="A41">
        <v>2025</v>
      </c>
      <c r="B41" t="s">
        <v>10</v>
      </c>
      <c r="C41" t="str">
        <f t="shared" si="6"/>
        <v>5C 3030 1D</v>
      </c>
      <c r="D41" t="str">
        <f t="shared" si="7"/>
        <v>5C 3030 1</v>
      </c>
      <c r="E41">
        <v>5</v>
      </c>
      <c r="F41">
        <v>3030</v>
      </c>
      <c r="G41">
        <v>1</v>
      </c>
      <c r="H41" t="s">
        <v>8</v>
      </c>
      <c r="I41">
        <v>579550</v>
      </c>
      <c r="J41">
        <v>23867</v>
      </c>
      <c r="K41">
        <f t="shared" si="8"/>
        <v>0.96044692144901456</v>
      </c>
    </row>
    <row r="42" spans="1:11" x14ac:dyDescent="0.2">
      <c r="A42">
        <v>2025</v>
      </c>
      <c r="B42" t="s">
        <v>10</v>
      </c>
      <c r="C42" t="str">
        <f t="shared" si="6"/>
        <v>5C 3030 2A</v>
      </c>
      <c r="D42" t="str">
        <f t="shared" si="7"/>
        <v>5C 3030 2</v>
      </c>
      <c r="E42">
        <v>5</v>
      </c>
      <c r="F42">
        <v>3030</v>
      </c>
      <c r="G42">
        <v>2</v>
      </c>
      <c r="H42" t="s">
        <v>5</v>
      </c>
      <c r="I42">
        <v>218383</v>
      </c>
      <c r="J42">
        <v>210744</v>
      </c>
      <c r="K42">
        <f t="shared" si="8"/>
        <v>0.50890062848527362</v>
      </c>
    </row>
    <row r="43" spans="1:11" x14ac:dyDescent="0.2">
      <c r="A43">
        <v>2025</v>
      </c>
      <c r="B43" t="s">
        <v>10</v>
      </c>
      <c r="C43" t="str">
        <f t="shared" si="6"/>
        <v>5C 3030 2B</v>
      </c>
      <c r="D43" t="str">
        <f t="shared" si="7"/>
        <v>5C 3030 2</v>
      </c>
      <c r="E43">
        <v>5</v>
      </c>
      <c r="F43">
        <v>3030</v>
      </c>
      <c r="G43">
        <v>2</v>
      </c>
      <c r="H43" t="s">
        <v>6</v>
      </c>
      <c r="I43">
        <v>372360</v>
      </c>
      <c r="J43">
        <v>99027</v>
      </c>
      <c r="K43">
        <f t="shared" si="8"/>
        <v>0.7899242024069395</v>
      </c>
    </row>
    <row r="44" spans="1:11" x14ac:dyDescent="0.2">
      <c r="A44">
        <v>2025</v>
      </c>
      <c r="B44" t="s">
        <v>10</v>
      </c>
      <c r="C44" t="str">
        <f t="shared" si="6"/>
        <v>5C 3030 2C</v>
      </c>
      <c r="D44" t="str">
        <f t="shared" si="7"/>
        <v>5C 3030 2</v>
      </c>
      <c r="E44">
        <v>5</v>
      </c>
      <c r="F44">
        <v>3030</v>
      </c>
      <c r="G44">
        <v>2</v>
      </c>
      <c r="H44" t="s">
        <v>7</v>
      </c>
      <c r="I44">
        <v>446860</v>
      </c>
      <c r="J44">
        <v>21289</v>
      </c>
      <c r="K44">
        <f t="shared" si="8"/>
        <v>0.95452516186086056</v>
      </c>
    </row>
    <row r="45" spans="1:11" x14ac:dyDescent="0.2">
      <c r="A45">
        <v>2025</v>
      </c>
      <c r="B45" t="s">
        <v>10</v>
      </c>
      <c r="C45" t="str">
        <f t="shared" si="6"/>
        <v>5C 3030 2D</v>
      </c>
      <c r="D45" t="str">
        <f t="shared" si="7"/>
        <v>5C 3030 2</v>
      </c>
      <c r="E45">
        <v>5</v>
      </c>
      <c r="F45">
        <v>3030</v>
      </c>
      <c r="G45">
        <v>2</v>
      </c>
      <c r="H45" t="s">
        <v>8</v>
      </c>
      <c r="I45">
        <v>362148</v>
      </c>
      <c r="J45">
        <v>120153</v>
      </c>
      <c r="K45">
        <f t="shared" si="8"/>
        <v>0.75087549061685543</v>
      </c>
    </row>
    <row r="46" spans="1:11" x14ac:dyDescent="0.2">
      <c r="A46">
        <v>2025</v>
      </c>
      <c r="B46" t="s">
        <v>10</v>
      </c>
      <c r="C46" t="str">
        <f t="shared" si="6"/>
        <v>5C 3030 3A</v>
      </c>
      <c r="D46" t="str">
        <f t="shared" si="7"/>
        <v>5C 3030 3</v>
      </c>
      <c r="E46">
        <v>5</v>
      </c>
      <c r="F46">
        <v>3030</v>
      </c>
      <c r="G46">
        <v>3</v>
      </c>
      <c r="H46" t="s">
        <v>5</v>
      </c>
      <c r="I46">
        <v>395972</v>
      </c>
      <c r="J46">
        <v>97352</v>
      </c>
      <c r="K46">
        <f t="shared" si="8"/>
        <v>0.80266113142681073</v>
      </c>
    </row>
    <row r="47" spans="1:11" x14ac:dyDescent="0.2">
      <c r="A47">
        <v>2025</v>
      </c>
      <c r="B47" t="s">
        <v>10</v>
      </c>
      <c r="C47" t="str">
        <f t="shared" si="6"/>
        <v>5C 3030 3B</v>
      </c>
      <c r="D47" t="str">
        <f t="shared" si="7"/>
        <v>5C 3030 3</v>
      </c>
      <c r="E47">
        <v>5</v>
      </c>
      <c r="F47">
        <v>3030</v>
      </c>
      <c r="G47">
        <v>3</v>
      </c>
      <c r="H47" t="s">
        <v>6</v>
      </c>
      <c r="I47">
        <v>433793</v>
      </c>
      <c r="J47">
        <v>3060</v>
      </c>
      <c r="K47">
        <f t="shared" si="8"/>
        <v>0.99299535541703965</v>
      </c>
    </row>
    <row r="48" spans="1:11" x14ac:dyDescent="0.2">
      <c r="A48">
        <v>2025</v>
      </c>
      <c r="B48" t="s">
        <v>10</v>
      </c>
      <c r="C48" t="str">
        <f t="shared" si="6"/>
        <v>5C 3030 3C</v>
      </c>
      <c r="D48" t="str">
        <f t="shared" si="7"/>
        <v>5C 3030 3</v>
      </c>
      <c r="E48">
        <v>5</v>
      </c>
      <c r="F48">
        <v>3030</v>
      </c>
      <c r="G48">
        <v>3</v>
      </c>
      <c r="H48" t="s">
        <v>7</v>
      </c>
      <c r="I48">
        <v>318972</v>
      </c>
      <c r="J48">
        <v>63214</v>
      </c>
      <c r="K48">
        <f t="shared" si="8"/>
        <v>0.83459886024082519</v>
      </c>
    </row>
    <row r="49" spans="1:11" x14ac:dyDescent="0.2">
      <c r="A49">
        <v>2025</v>
      </c>
      <c r="B49" t="s">
        <v>10</v>
      </c>
      <c r="C49" t="str">
        <f t="shared" si="6"/>
        <v>5C 3030 3D</v>
      </c>
      <c r="D49" t="str">
        <f t="shared" si="7"/>
        <v>5C 3030 3</v>
      </c>
      <c r="E49">
        <v>5</v>
      </c>
      <c r="F49">
        <v>3030</v>
      </c>
      <c r="G49">
        <v>3</v>
      </c>
      <c r="H49" t="s">
        <v>8</v>
      </c>
      <c r="I49">
        <v>282212</v>
      </c>
      <c r="J49">
        <v>95353</v>
      </c>
      <c r="K49">
        <f t="shared" si="8"/>
        <v>0.74745275647901688</v>
      </c>
    </row>
    <row r="50" spans="1:11" x14ac:dyDescent="0.2">
      <c r="A50">
        <v>2025</v>
      </c>
      <c r="B50" t="s">
        <v>10</v>
      </c>
      <c r="C50" t="str">
        <f t="shared" si="6"/>
        <v>5C 2060 1A</v>
      </c>
      <c r="D50" t="str">
        <f t="shared" si="7"/>
        <v>5C 2060 1</v>
      </c>
      <c r="E50">
        <v>5</v>
      </c>
      <c r="F50">
        <v>2060</v>
      </c>
      <c r="G50">
        <v>1</v>
      </c>
      <c r="H50" t="s">
        <v>5</v>
      </c>
      <c r="I50">
        <v>357027</v>
      </c>
      <c r="J50">
        <v>32053</v>
      </c>
      <c r="K50">
        <f t="shared" si="8"/>
        <v>0.91761848463041018</v>
      </c>
    </row>
    <row r="51" spans="1:11" x14ac:dyDescent="0.2">
      <c r="A51">
        <v>2025</v>
      </c>
      <c r="B51" t="s">
        <v>10</v>
      </c>
      <c r="C51" t="str">
        <f t="shared" si="6"/>
        <v>5C 2060 1B</v>
      </c>
      <c r="D51" t="str">
        <f t="shared" si="7"/>
        <v>5C 2060 1</v>
      </c>
      <c r="E51">
        <v>5</v>
      </c>
      <c r="F51">
        <v>2060</v>
      </c>
      <c r="G51">
        <v>1</v>
      </c>
      <c r="H51" t="s">
        <v>6</v>
      </c>
      <c r="I51">
        <v>342121</v>
      </c>
      <c r="J51">
        <v>160139</v>
      </c>
      <c r="K51">
        <f t="shared" si="8"/>
        <v>0.68116314259546851</v>
      </c>
    </row>
    <row r="52" spans="1:11" x14ac:dyDescent="0.2">
      <c r="A52">
        <v>2025</v>
      </c>
      <c r="B52" t="s">
        <v>10</v>
      </c>
      <c r="C52" t="str">
        <f t="shared" si="6"/>
        <v>5C 2060 1C</v>
      </c>
      <c r="D52" t="str">
        <f t="shared" si="7"/>
        <v>5C 2060 1</v>
      </c>
      <c r="E52">
        <v>5</v>
      </c>
      <c r="F52">
        <v>2060</v>
      </c>
      <c r="G52">
        <v>1</v>
      </c>
      <c r="H52" t="s">
        <v>7</v>
      </c>
      <c r="I52">
        <v>307348</v>
      </c>
      <c r="J52">
        <v>141424</v>
      </c>
      <c r="K52">
        <f t="shared" si="8"/>
        <v>0.68486447461071542</v>
      </c>
    </row>
    <row r="53" spans="1:11" x14ac:dyDescent="0.2">
      <c r="A53">
        <v>2025</v>
      </c>
      <c r="B53" t="s">
        <v>10</v>
      </c>
      <c r="C53" t="str">
        <f t="shared" si="6"/>
        <v>5C 2060 1D</v>
      </c>
      <c r="D53" t="str">
        <f t="shared" si="7"/>
        <v>5C 2060 1</v>
      </c>
      <c r="E53">
        <v>5</v>
      </c>
      <c r="F53">
        <v>2060</v>
      </c>
      <c r="G53">
        <v>1</v>
      </c>
      <c r="H53" t="s">
        <v>8</v>
      </c>
      <c r="I53">
        <v>407094</v>
      </c>
      <c r="J53">
        <v>102908</v>
      </c>
      <c r="K53">
        <f t="shared" si="8"/>
        <v>0.79822039913568965</v>
      </c>
    </row>
    <row r="54" spans="1:11" x14ac:dyDescent="0.2">
      <c r="A54">
        <v>2025</v>
      </c>
      <c r="B54" t="s">
        <v>10</v>
      </c>
      <c r="C54" t="str">
        <f t="shared" si="6"/>
        <v>5C 2060 2A</v>
      </c>
      <c r="D54" t="str">
        <f t="shared" si="7"/>
        <v>5C 2060 2</v>
      </c>
      <c r="E54">
        <v>5</v>
      </c>
      <c r="F54">
        <v>2060</v>
      </c>
      <c r="G54">
        <v>2</v>
      </c>
      <c r="H54" t="s">
        <v>5</v>
      </c>
      <c r="I54">
        <v>317606</v>
      </c>
      <c r="J54">
        <v>94613</v>
      </c>
      <c r="K54">
        <f t="shared" si="8"/>
        <v>0.77047879889088078</v>
      </c>
    </row>
    <row r="55" spans="1:11" x14ac:dyDescent="0.2">
      <c r="A55">
        <v>2025</v>
      </c>
      <c r="B55" t="s">
        <v>10</v>
      </c>
      <c r="C55" t="str">
        <f t="shared" si="6"/>
        <v>5C 2060 2B</v>
      </c>
      <c r="D55" t="str">
        <f t="shared" si="7"/>
        <v>5C 2060 2</v>
      </c>
      <c r="E55">
        <v>5</v>
      </c>
      <c r="F55">
        <v>2060</v>
      </c>
      <c r="G55">
        <v>2</v>
      </c>
      <c r="H55" t="s">
        <v>6</v>
      </c>
      <c r="I55">
        <v>335813</v>
      </c>
      <c r="J55">
        <v>86026</v>
      </c>
      <c r="K55">
        <f t="shared" si="8"/>
        <v>0.79606911641645273</v>
      </c>
    </row>
    <row r="56" spans="1:11" x14ac:dyDescent="0.2">
      <c r="A56">
        <v>2025</v>
      </c>
      <c r="B56" t="s">
        <v>10</v>
      </c>
      <c r="C56" t="str">
        <f t="shared" si="6"/>
        <v>5C 2060 2C</v>
      </c>
      <c r="D56" t="str">
        <f t="shared" si="7"/>
        <v>5C 2060 2</v>
      </c>
      <c r="E56">
        <v>5</v>
      </c>
      <c r="F56">
        <v>2060</v>
      </c>
      <c r="G56">
        <v>2</v>
      </c>
      <c r="H56" t="s">
        <v>7</v>
      </c>
      <c r="I56">
        <v>249375</v>
      </c>
      <c r="J56">
        <v>262110</v>
      </c>
      <c r="K56">
        <f t="shared" si="8"/>
        <v>0.48755095457344788</v>
      </c>
    </row>
    <row r="57" spans="1:11" x14ac:dyDescent="0.2">
      <c r="A57">
        <v>2025</v>
      </c>
      <c r="B57" t="s">
        <v>10</v>
      </c>
      <c r="C57" t="str">
        <f t="shared" si="6"/>
        <v>5C 2060 2D</v>
      </c>
      <c r="D57" t="str">
        <f t="shared" si="7"/>
        <v>5C 2060 2</v>
      </c>
      <c r="E57">
        <v>5</v>
      </c>
      <c r="F57">
        <v>2060</v>
      </c>
      <c r="G57">
        <v>2</v>
      </c>
      <c r="H57" t="s">
        <v>8</v>
      </c>
      <c r="I57">
        <v>306319</v>
      </c>
      <c r="J57">
        <v>179493</v>
      </c>
      <c r="K57">
        <f t="shared" si="8"/>
        <v>0.63052991692259552</v>
      </c>
    </row>
    <row r="58" spans="1:11" x14ac:dyDescent="0.2">
      <c r="A58">
        <v>2025</v>
      </c>
      <c r="B58" t="s">
        <v>10</v>
      </c>
      <c r="C58" t="str">
        <f t="shared" si="6"/>
        <v>5C 2060 3A</v>
      </c>
      <c r="D58" t="str">
        <f t="shared" si="7"/>
        <v>5C 2060 3</v>
      </c>
      <c r="E58">
        <v>5</v>
      </c>
      <c r="F58">
        <v>2060</v>
      </c>
      <c r="G58">
        <v>3</v>
      </c>
      <c r="H58" t="s">
        <v>5</v>
      </c>
      <c r="I58">
        <v>355562</v>
      </c>
      <c r="J58">
        <v>111511</v>
      </c>
      <c r="K58">
        <f t="shared" si="8"/>
        <v>0.761255735184864</v>
      </c>
    </row>
    <row r="59" spans="1:11" x14ac:dyDescent="0.2">
      <c r="A59">
        <v>2025</v>
      </c>
      <c r="B59" t="s">
        <v>10</v>
      </c>
      <c r="C59" t="str">
        <f t="shared" si="6"/>
        <v>5C 2060 3B</v>
      </c>
      <c r="D59" t="str">
        <f t="shared" si="7"/>
        <v>5C 2060 3</v>
      </c>
      <c r="E59">
        <v>5</v>
      </c>
      <c r="F59">
        <v>2060</v>
      </c>
      <c r="G59">
        <v>3</v>
      </c>
      <c r="H59" t="s">
        <v>6</v>
      </c>
      <c r="I59">
        <v>224585</v>
      </c>
      <c r="J59">
        <v>272441</v>
      </c>
      <c r="K59">
        <f t="shared" si="8"/>
        <v>0.45185764929802463</v>
      </c>
    </row>
    <row r="60" spans="1:11" x14ac:dyDescent="0.2">
      <c r="A60">
        <v>2025</v>
      </c>
      <c r="B60" t="s">
        <v>10</v>
      </c>
      <c r="C60" t="str">
        <f t="shared" si="6"/>
        <v>5C 2060 3C</v>
      </c>
      <c r="D60" t="str">
        <f t="shared" si="7"/>
        <v>5C 2060 3</v>
      </c>
      <c r="E60">
        <v>5</v>
      </c>
      <c r="F60">
        <v>2060</v>
      </c>
      <c r="G60">
        <v>3</v>
      </c>
      <c r="H60" t="s">
        <v>7</v>
      </c>
      <c r="I60">
        <v>341228</v>
      </c>
      <c r="J60">
        <v>208358</v>
      </c>
      <c r="K60">
        <f t="shared" si="8"/>
        <v>0.62088190019396416</v>
      </c>
    </row>
    <row r="61" spans="1:11" x14ac:dyDescent="0.2">
      <c r="A61">
        <v>2025</v>
      </c>
      <c r="B61" t="s">
        <v>10</v>
      </c>
      <c r="C61" t="str">
        <f t="shared" si="6"/>
        <v>5C 2060 3D</v>
      </c>
      <c r="D61" t="str">
        <f t="shared" si="7"/>
        <v>5C 2060 3</v>
      </c>
      <c r="E61">
        <v>5</v>
      </c>
      <c r="F61">
        <v>2060</v>
      </c>
      <c r="G61">
        <v>3</v>
      </c>
      <c r="H61" t="s">
        <v>8</v>
      </c>
      <c r="I61">
        <v>500878</v>
      </c>
      <c r="J61">
        <v>14582</v>
      </c>
      <c r="K61">
        <f t="shared" si="8"/>
        <v>0.97171070500135803</v>
      </c>
    </row>
    <row r="62" spans="1:11" x14ac:dyDescent="0.2">
      <c r="A62">
        <v>2025</v>
      </c>
      <c r="B62" t="s">
        <v>10</v>
      </c>
      <c r="C62" t="str">
        <f t="shared" si="6"/>
        <v>5C 6060 1A</v>
      </c>
      <c r="D62" t="str">
        <f t="shared" si="7"/>
        <v>5C 6060 1</v>
      </c>
      <c r="E62">
        <v>5</v>
      </c>
      <c r="F62">
        <v>6060</v>
      </c>
      <c r="G62">
        <v>1</v>
      </c>
      <c r="H62" t="s">
        <v>5</v>
      </c>
      <c r="I62">
        <v>449853</v>
      </c>
      <c r="J62">
        <v>45233</v>
      </c>
      <c r="K62">
        <f t="shared" si="8"/>
        <v>0.90863607534852531</v>
      </c>
    </row>
    <row r="63" spans="1:11" x14ac:dyDescent="0.2">
      <c r="A63">
        <v>2025</v>
      </c>
      <c r="B63" t="s">
        <v>10</v>
      </c>
      <c r="C63" t="str">
        <f t="shared" si="6"/>
        <v>5C 6060 1B</v>
      </c>
      <c r="D63" t="str">
        <f t="shared" si="7"/>
        <v>5C 6060 1</v>
      </c>
      <c r="E63">
        <v>5</v>
      </c>
      <c r="F63">
        <v>6060</v>
      </c>
      <c r="G63">
        <v>1</v>
      </c>
      <c r="H63" t="s">
        <v>6</v>
      </c>
      <c r="I63">
        <v>300082</v>
      </c>
      <c r="J63">
        <v>93360</v>
      </c>
      <c r="K63">
        <f t="shared" si="8"/>
        <v>0.76270962429023847</v>
      </c>
    </row>
    <row r="64" spans="1:11" x14ac:dyDescent="0.2">
      <c r="A64">
        <v>2025</v>
      </c>
      <c r="B64" t="s">
        <v>10</v>
      </c>
      <c r="C64" t="str">
        <f t="shared" si="6"/>
        <v>5C 6060 1C</v>
      </c>
      <c r="D64" t="str">
        <f t="shared" si="7"/>
        <v>5C 6060 1</v>
      </c>
      <c r="E64">
        <v>5</v>
      </c>
      <c r="F64">
        <v>6060</v>
      </c>
      <c r="G64">
        <v>1</v>
      </c>
      <c r="H64" t="s">
        <v>7</v>
      </c>
      <c r="I64">
        <v>176042</v>
      </c>
      <c r="J64">
        <v>314357</v>
      </c>
      <c r="K64">
        <f t="shared" si="8"/>
        <v>0.35897707784885369</v>
      </c>
    </row>
    <row r="65" spans="1:11" x14ac:dyDescent="0.2">
      <c r="A65">
        <v>2025</v>
      </c>
      <c r="B65" t="s">
        <v>10</v>
      </c>
      <c r="C65" t="str">
        <f t="shared" si="6"/>
        <v>5C 6060 1D</v>
      </c>
      <c r="D65" t="str">
        <f t="shared" si="7"/>
        <v>5C 6060 1</v>
      </c>
      <c r="E65">
        <v>5</v>
      </c>
      <c r="F65">
        <v>6060</v>
      </c>
      <c r="G65">
        <v>1</v>
      </c>
      <c r="H65" t="s">
        <v>8</v>
      </c>
      <c r="I65">
        <v>258923</v>
      </c>
      <c r="J65">
        <v>255229</v>
      </c>
      <c r="K65">
        <f t="shared" si="8"/>
        <v>0.50359232289284106</v>
      </c>
    </row>
    <row r="66" spans="1:11" x14ac:dyDescent="0.2">
      <c r="A66">
        <v>2025</v>
      </c>
      <c r="B66" t="s">
        <v>10</v>
      </c>
      <c r="C66" t="str">
        <f t="shared" si="6"/>
        <v>5C 6060 2A</v>
      </c>
      <c r="D66" t="str">
        <f t="shared" si="7"/>
        <v>5C 6060 2</v>
      </c>
      <c r="E66">
        <v>5</v>
      </c>
      <c r="F66">
        <v>6060</v>
      </c>
      <c r="G66">
        <v>2</v>
      </c>
      <c r="H66" t="s">
        <v>5</v>
      </c>
      <c r="I66">
        <v>206859</v>
      </c>
      <c r="J66">
        <v>211822</v>
      </c>
      <c r="K66">
        <f t="shared" si="8"/>
        <v>0.49407305323145784</v>
      </c>
    </row>
    <row r="67" spans="1:11" x14ac:dyDescent="0.2">
      <c r="A67">
        <v>2025</v>
      </c>
      <c r="B67" t="s">
        <v>10</v>
      </c>
      <c r="C67" t="str">
        <f t="shared" si="6"/>
        <v>5C 6060 2B</v>
      </c>
      <c r="D67" t="str">
        <f t="shared" si="7"/>
        <v>5C 6060 2</v>
      </c>
      <c r="E67">
        <v>5</v>
      </c>
      <c r="F67">
        <v>6060</v>
      </c>
      <c r="G67">
        <v>2</v>
      </c>
      <c r="H67" t="s">
        <v>6</v>
      </c>
      <c r="I67">
        <v>133672</v>
      </c>
      <c r="J67">
        <v>306073</v>
      </c>
      <c r="K67">
        <f t="shared" si="8"/>
        <v>0.30397616800645827</v>
      </c>
    </row>
    <row r="68" spans="1:11" x14ac:dyDescent="0.2">
      <c r="A68">
        <v>2025</v>
      </c>
      <c r="B68" t="s">
        <v>10</v>
      </c>
      <c r="C68" t="str">
        <f t="shared" si="6"/>
        <v>5C 6060 2C</v>
      </c>
      <c r="D68" t="str">
        <f t="shared" si="7"/>
        <v>5C 6060 2</v>
      </c>
      <c r="E68">
        <v>5</v>
      </c>
      <c r="F68">
        <v>6060</v>
      </c>
      <c r="G68">
        <v>2</v>
      </c>
      <c r="H68" t="s">
        <v>7</v>
      </c>
      <c r="I68">
        <v>244175</v>
      </c>
      <c r="J68">
        <v>236282</v>
      </c>
      <c r="K68">
        <f t="shared" si="8"/>
        <v>0.50821405453557755</v>
      </c>
    </row>
    <row r="69" spans="1:11" x14ac:dyDescent="0.2">
      <c r="A69">
        <v>2025</v>
      </c>
      <c r="B69" t="s">
        <v>10</v>
      </c>
      <c r="C69" t="str">
        <f t="shared" si="6"/>
        <v>5C 6060 2D</v>
      </c>
      <c r="D69" t="str">
        <f t="shared" si="7"/>
        <v>5C 6060 2</v>
      </c>
      <c r="E69">
        <v>5</v>
      </c>
      <c r="F69">
        <v>6060</v>
      </c>
      <c r="G69">
        <v>2</v>
      </c>
      <c r="H69" t="s">
        <v>8</v>
      </c>
      <c r="I69">
        <v>262050</v>
      </c>
      <c r="J69">
        <v>203937</v>
      </c>
      <c r="K69">
        <f t="shared" si="8"/>
        <v>0.56235474380186568</v>
      </c>
    </row>
    <row r="70" spans="1:11" x14ac:dyDescent="0.2">
      <c r="A70">
        <v>2025</v>
      </c>
      <c r="B70" t="s">
        <v>10</v>
      </c>
      <c r="C70" t="str">
        <f t="shared" si="6"/>
        <v>5C 6060 3A</v>
      </c>
      <c r="D70" t="str">
        <f t="shared" si="7"/>
        <v>5C 6060 3</v>
      </c>
      <c r="E70">
        <v>5</v>
      </c>
      <c r="F70">
        <v>6060</v>
      </c>
      <c r="G70">
        <v>3</v>
      </c>
      <c r="H70" t="s">
        <v>5</v>
      </c>
      <c r="I70">
        <v>231982</v>
      </c>
      <c r="J70">
        <v>155409</v>
      </c>
      <c r="K70">
        <f t="shared" si="8"/>
        <v>0.59883167136046012</v>
      </c>
    </row>
    <row r="71" spans="1:11" x14ac:dyDescent="0.2">
      <c r="A71">
        <v>2025</v>
      </c>
      <c r="B71" t="s">
        <v>10</v>
      </c>
      <c r="C71" t="str">
        <f t="shared" si="6"/>
        <v>5C 6060 3B</v>
      </c>
      <c r="D71" t="str">
        <f>E71&amp;"C"&amp;" "&amp;F71&amp;" "&amp;G71</f>
        <v>5C 6060 3</v>
      </c>
      <c r="E71">
        <v>5</v>
      </c>
      <c r="F71">
        <v>6060</v>
      </c>
      <c r="G71">
        <v>3</v>
      </c>
      <c r="H71" t="s">
        <v>6</v>
      </c>
      <c r="I71">
        <v>383166</v>
      </c>
      <c r="J71">
        <v>126884</v>
      </c>
      <c r="K71">
        <f t="shared" si="8"/>
        <v>0.75123223213410451</v>
      </c>
    </row>
    <row r="72" spans="1:11" x14ac:dyDescent="0.2">
      <c r="A72">
        <v>2025</v>
      </c>
      <c r="B72" t="s">
        <v>10</v>
      </c>
      <c r="C72" t="str">
        <f t="shared" si="6"/>
        <v>5C 6060 3C</v>
      </c>
      <c r="D72" t="str">
        <f t="shared" si="7"/>
        <v>5C 6060 3</v>
      </c>
      <c r="E72">
        <v>5</v>
      </c>
      <c r="F72">
        <v>6060</v>
      </c>
      <c r="G72">
        <v>3</v>
      </c>
      <c r="H72" t="s">
        <v>7</v>
      </c>
      <c r="I72">
        <v>430134</v>
      </c>
      <c r="J72">
        <v>105031</v>
      </c>
      <c r="K72">
        <f t="shared" si="8"/>
        <v>0.80374090233853113</v>
      </c>
    </row>
    <row r="73" spans="1:11" x14ac:dyDescent="0.2">
      <c r="A73">
        <v>2025</v>
      </c>
      <c r="B73" t="s">
        <v>10</v>
      </c>
      <c r="C73" t="str">
        <f t="shared" si="6"/>
        <v>5C 6060 3D</v>
      </c>
      <c r="D73" t="str">
        <f t="shared" si="7"/>
        <v>5C 6060 3</v>
      </c>
      <c r="E73">
        <v>5</v>
      </c>
      <c r="F73">
        <v>6060</v>
      </c>
      <c r="G73">
        <v>3</v>
      </c>
      <c r="H73" t="s">
        <v>8</v>
      </c>
      <c r="I73">
        <v>428837</v>
      </c>
      <c r="J73">
        <v>68136</v>
      </c>
      <c r="K73">
        <f t="shared" si="8"/>
        <v>0.86289798439754273</v>
      </c>
    </row>
    <row r="74" spans="1:11" x14ac:dyDescent="0.2">
      <c r="A74">
        <v>2025</v>
      </c>
      <c r="B74" t="s">
        <v>10</v>
      </c>
      <c r="C74" t="str">
        <f>E74&amp;"C"&amp;" "&amp;F74&amp;" "&amp;G74&amp;H74</f>
        <v>8C 2030 1A</v>
      </c>
      <c r="D74" t="str">
        <f t="shared" si="7"/>
        <v>8C 2030 1</v>
      </c>
      <c r="E74">
        <v>8</v>
      </c>
      <c r="F74">
        <v>2030</v>
      </c>
      <c r="G74">
        <v>1</v>
      </c>
      <c r="H74" t="s">
        <v>5</v>
      </c>
      <c r="I74">
        <v>11263</v>
      </c>
      <c r="J74">
        <v>436730</v>
      </c>
      <c r="K74">
        <f t="shared" si="8"/>
        <v>2.514101782840357E-2</v>
      </c>
    </row>
    <row r="75" spans="1:11" x14ac:dyDescent="0.2">
      <c r="A75">
        <v>2025</v>
      </c>
      <c r="B75" t="s">
        <v>10</v>
      </c>
      <c r="C75" t="str">
        <f t="shared" ref="C75:C121" si="9">E75&amp;"C"&amp;" "&amp;F75&amp;" "&amp;G75&amp;H75</f>
        <v>8C 2030 1B</v>
      </c>
      <c r="D75" t="str">
        <f t="shared" si="7"/>
        <v>8C 2030 1</v>
      </c>
      <c r="E75">
        <v>8</v>
      </c>
      <c r="F75">
        <v>2030</v>
      </c>
      <c r="G75">
        <v>1</v>
      </c>
      <c r="H75" t="s">
        <v>6</v>
      </c>
      <c r="I75">
        <v>14441</v>
      </c>
      <c r="J75">
        <v>472096</v>
      </c>
      <c r="K75">
        <f t="shared" si="8"/>
        <v>2.968119588027221E-2</v>
      </c>
    </row>
    <row r="76" spans="1:11" x14ac:dyDescent="0.2">
      <c r="A76">
        <v>2025</v>
      </c>
      <c r="B76" t="s">
        <v>10</v>
      </c>
      <c r="C76" t="str">
        <f t="shared" si="9"/>
        <v>8C 2030 1C</v>
      </c>
      <c r="D76" t="str">
        <f t="shared" si="7"/>
        <v>8C 2030 1</v>
      </c>
      <c r="E76">
        <v>8</v>
      </c>
      <c r="F76">
        <v>2030</v>
      </c>
      <c r="G76">
        <v>1</v>
      </c>
      <c r="H76" t="s">
        <v>7</v>
      </c>
      <c r="I76">
        <v>41691</v>
      </c>
      <c r="J76">
        <v>467541</v>
      </c>
      <c r="K76">
        <f t="shared" si="8"/>
        <v>8.1870345932698652E-2</v>
      </c>
    </row>
    <row r="77" spans="1:11" x14ac:dyDescent="0.2">
      <c r="A77">
        <v>2025</v>
      </c>
      <c r="B77" t="s">
        <v>10</v>
      </c>
      <c r="C77" t="str">
        <f t="shared" si="9"/>
        <v>8C 2030 1D</v>
      </c>
      <c r="D77" t="str">
        <f t="shared" si="7"/>
        <v>8C 2030 1</v>
      </c>
      <c r="E77">
        <v>8</v>
      </c>
      <c r="F77">
        <v>2030</v>
      </c>
      <c r="G77">
        <v>1</v>
      </c>
      <c r="H77" t="s">
        <v>8</v>
      </c>
      <c r="I77">
        <v>19460</v>
      </c>
      <c r="J77">
        <v>506468</v>
      </c>
      <c r="K77">
        <f t="shared" si="8"/>
        <v>3.7001262530232275E-2</v>
      </c>
    </row>
    <row r="78" spans="1:11" x14ac:dyDescent="0.2">
      <c r="A78">
        <v>2025</v>
      </c>
      <c r="B78" t="s">
        <v>10</v>
      </c>
      <c r="C78" t="str">
        <f t="shared" si="9"/>
        <v>8C 2030 2A</v>
      </c>
      <c r="D78" t="str">
        <f t="shared" si="7"/>
        <v>8C 2030 2</v>
      </c>
      <c r="E78">
        <v>8</v>
      </c>
      <c r="F78">
        <v>2030</v>
      </c>
      <c r="G78">
        <v>2</v>
      </c>
      <c r="H78" t="s">
        <v>5</v>
      </c>
      <c r="I78">
        <v>4751</v>
      </c>
      <c r="J78">
        <v>402858</v>
      </c>
      <c r="K78">
        <f t="shared" si="8"/>
        <v>1.1655777963685787E-2</v>
      </c>
    </row>
    <row r="79" spans="1:11" x14ac:dyDescent="0.2">
      <c r="A79">
        <v>2025</v>
      </c>
      <c r="B79" t="s">
        <v>10</v>
      </c>
      <c r="C79" t="str">
        <f t="shared" si="9"/>
        <v>8C 2030 2B</v>
      </c>
      <c r="D79" t="str">
        <f t="shared" si="7"/>
        <v>8C 2030 2</v>
      </c>
      <c r="E79">
        <v>8</v>
      </c>
      <c r="F79">
        <v>2030</v>
      </c>
      <c r="G79">
        <v>2</v>
      </c>
      <c r="H79" t="s">
        <v>6</v>
      </c>
      <c r="I79">
        <v>17805</v>
      </c>
      <c r="J79">
        <v>410154</v>
      </c>
      <c r="K79">
        <f t="shared" si="8"/>
        <v>4.1604452762998324E-2</v>
      </c>
    </row>
    <row r="80" spans="1:11" x14ac:dyDescent="0.2">
      <c r="A80">
        <v>2025</v>
      </c>
      <c r="B80" t="s">
        <v>10</v>
      </c>
      <c r="C80" t="str">
        <f t="shared" si="9"/>
        <v>8C 2030 2C</v>
      </c>
      <c r="D80" t="str">
        <f t="shared" si="7"/>
        <v>8C 2030 2</v>
      </c>
      <c r="E80">
        <v>8</v>
      </c>
      <c r="F80">
        <v>2030</v>
      </c>
      <c r="G80">
        <v>2</v>
      </c>
      <c r="H80" t="s">
        <v>7</v>
      </c>
      <c r="I80">
        <v>5403</v>
      </c>
      <c r="J80">
        <v>173550</v>
      </c>
      <c r="K80">
        <f t="shared" si="8"/>
        <v>3.0192285125144592E-2</v>
      </c>
    </row>
    <row r="81" spans="1:11" x14ac:dyDescent="0.2">
      <c r="A81">
        <v>2025</v>
      </c>
      <c r="B81" t="s">
        <v>10</v>
      </c>
      <c r="C81" t="str">
        <f t="shared" si="9"/>
        <v>8C 2030 2D</v>
      </c>
      <c r="D81" t="str">
        <f t="shared" si="7"/>
        <v>8C 2030 2</v>
      </c>
      <c r="E81">
        <v>8</v>
      </c>
      <c r="F81">
        <v>2030</v>
      </c>
      <c r="G81">
        <v>2</v>
      </c>
      <c r="H81" t="s">
        <v>8</v>
      </c>
      <c r="I81">
        <v>4761</v>
      </c>
      <c r="J81">
        <v>366637</v>
      </c>
      <c r="K81">
        <f t="shared" si="8"/>
        <v>1.2819132036252215E-2</v>
      </c>
    </row>
    <row r="82" spans="1:11" x14ac:dyDescent="0.2">
      <c r="A82">
        <v>2025</v>
      </c>
      <c r="B82" t="s">
        <v>10</v>
      </c>
      <c r="C82" t="str">
        <f t="shared" si="9"/>
        <v>8C 2030 3A</v>
      </c>
      <c r="D82" t="str">
        <f t="shared" si="7"/>
        <v>8C 2030 3</v>
      </c>
      <c r="E82">
        <v>8</v>
      </c>
      <c r="F82">
        <v>2030</v>
      </c>
      <c r="G82">
        <v>3</v>
      </c>
      <c r="H82" t="s">
        <v>5</v>
      </c>
      <c r="I82">
        <v>9783</v>
      </c>
      <c r="J82">
        <v>361235</v>
      </c>
      <c r="K82">
        <f t="shared" si="8"/>
        <v>2.6367992927566856E-2</v>
      </c>
    </row>
    <row r="83" spans="1:11" x14ac:dyDescent="0.2">
      <c r="A83">
        <v>2025</v>
      </c>
      <c r="B83" t="s">
        <v>10</v>
      </c>
      <c r="C83" t="str">
        <f t="shared" si="9"/>
        <v>8C 2030 3B</v>
      </c>
      <c r="D83" t="str">
        <f t="shared" si="7"/>
        <v>8C 2030 3</v>
      </c>
      <c r="E83">
        <v>8</v>
      </c>
      <c r="F83">
        <v>2030</v>
      </c>
      <c r="G83">
        <v>3</v>
      </c>
      <c r="H83" t="s">
        <v>6</v>
      </c>
      <c r="I83">
        <v>7344</v>
      </c>
      <c r="J83">
        <v>443612</v>
      </c>
      <c r="K83">
        <f t="shared" si="8"/>
        <v>1.6285402566991014E-2</v>
      </c>
    </row>
    <row r="84" spans="1:11" x14ac:dyDescent="0.2">
      <c r="A84">
        <v>2025</v>
      </c>
      <c r="B84" t="s">
        <v>10</v>
      </c>
      <c r="C84" t="str">
        <f t="shared" si="9"/>
        <v>8C 2030 3C</v>
      </c>
      <c r="D84" t="str">
        <f t="shared" si="7"/>
        <v>8C 2030 3</v>
      </c>
      <c r="E84">
        <v>8</v>
      </c>
      <c r="F84">
        <v>2030</v>
      </c>
      <c r="G84">
        <v>3</v>
      </c>
      <c r="H84" t="s">
        <v>7</v>
      </c>
      <c r="I84">
        <v>15529</v>
      </c>
      <c r="J84">
        <v>453357</v>
      </c>
      <c r="K84">
        <f t="shared" si="8"/>
        <v>3.3118924429392217E-2</v>
      </c>
    </row>
    <row r="85" spans="1:11" x14ac:dyDescent="0.2">
      <c r="A85">
        <v>2025</v>
      </c>
      <c r="B85" t="s">
        <v>10</v>
      </c>
      <c r="C85" t="str">
        <f t="shared" si="9"/>
        <v>8C 2030 3D</v>
      </c>
      <c r="D85" t="str">
        <f t="shared" si="7"/>
        <v>8C 2030 3</v>
      </c>
      <c r="E85">
        <v>8</v>
      </c>
      <c r="F85">
        <v>2030</v>
      </c>
      <c r="G85">
        <v>3</v>
      </c>
      <c r="H85" t="s">
        <v>8</v>
      </c>
      <c r="I85">
        <v>14873</v>
      </c>
      <c r="J85">
        <v>471278</v>
      </c>
      <c r="K85">
        <f t="shared" si="8"/>
        <v>3.0593375309317477E-2</v>
      </c>
    </row>
    <row r="86" spans="1:11" x14ac:dyDescent="0.2">
      <c r="A86">
        <v>2025</v>
      </c>
      <c r="B86" t="s">
        <v>10</v>
      </c>
      <c r="C86" t="str">
        <f t="shared" si="9"/>
        <v>8C 3030 1A</v>
      </c>
      <c r="D86" t="str">
        <f t="shared" si="7"/>
        <v>8C 3030 1</v>
      </c>
      <c r="E86">
        <v>8</v>
      </c>
      <c r="F86">
        <v>3030</v>
      </c>
      <c r="G86">
        <v>1</v>
      </c>
      <c r="H86" t="s">
        <v>5</v>
      </c>
      <c r="I86">
        <v>45042</v>
      </c>
      <c r="J86">
        <v>448254</v>
      </c>
      <c r="K86">
        <f t="shared" si="8"/>
        <v>9.1308261165709836E-2</v>
      </c>
    </row>
    <row r="87" spans="1:11" x14ac:dyDescent="0.2">
      <c r="A87">
        <v>2025</v>
      </c>
      <c r="B87" t="s">
        <v>10</v>
      </c>
      <c r="C87" t="str">
        <f t="shared" si="9"/>
        <v>8C 3030 1B</v>
      </c>
      <c r="D87" t="str">
        <f t="shared" si="7"/>
        <v>8C 3030 1</v>
      </c>
      <c r="E87">
        <v>8</v>
      </c>
      <c r="F87">
        <v>3030</v>
      </c>
      <c r="G87">
        <v>1</v>
      </c>
      <c r="H87" t="s">
        <v>6</v>
      </c>
      <c r="I87">
        <v>27616</v>
      </c>
      <c r="J87">
        <v>478573</v>
      </c>
      <c r="K87">
        <f t="shared" si="8"/>
        <v>5.4556697202033232E-2</v>
      </c>
    </row>
    <row r="88" spans="1:11" x14ac:dyDescent="0.2">
      <c r="A88">
        <v>2025</v>
      </c>
      <c r="B88" t="s">
        <v>10</v>
      </c>
      <c r="C88" t="str">
        <f t="shared" si="9"/>
        <v>8C 3030 1C</v>
      </c>
      <c r="D88" t="str">
        <f t="shared" si="7"/>
        <v>8C 3030 1</v>
      </c>
      <c r="E88">
        <v>8</v>
      </c>
      <c r="F88">
        <v>3030</v>
      </c>
      <c r="G88">
        <v>1</v>
      </c>
      <c r="H88" t="s">
        <v>7</v>
      </c>
      <c r="I88">
        <v>41216</v>
      </c>
      <c r="J88">
        <v>421894</v>
      </c>
      <c r="K88">
        <f t="shared" si="8"/>
        <v>8.8998294141780565E-2</v>
      </c>
    </row>
    <row r="89" spans="1:11" x14ac:dyDescent="0.2">
      <c r="A89">
        <v>2025</v>
      </c>
      <c r="B89" t="s">
        <v>10</v>
      </c>
      <c r="C89" t="str">
        <f t="shared" si="9"/>
        <v>8C 3030 1D</v>
      </c>
      <c r="D89" t="str">
        <f t="shared" si="7"/>
        <v>8C 3030 1</v>
      </c>
      <c r="E89">
        <v>8</v>
      </c>
      <c r="F89">
        <v>3030</v>
      </c>
      <c r="G89">
        <v>1</v>
      </c>
      <c r="H89" t="s">
        <v>8</v>
      </c>
      <c r="I89">
        <v>39319</v>
      </c>
      <c r="J89">
        <v>500180</v>
      </c>
      <c r="K89">
        <f t="shared" si="8"/>
        <v>7.2880579945467927E-2</v>
      </c>
    </row>
    <row r="90" spans="1:11" x14ac:dyDescent="0.2">
      <c r="A90">
        <v>2025</v>
      </c>
      <c r="B90" t="s">
        <v>10</v>
      </c>
      <c r="C90" t="str">
        <f t="shared" si="9"/>
        <v>8C 3030 2A</v>
      </c>
      <c r="D90" t="str">
        <f t="shared" si="7"/>
        <v>8C 3030 2</v>
      </c>
      <c r="E90">
        <v>8</v>
      </c>
      <c r="F90">
        <v>3030</v>
      </c>
      <c r="G90">
        <v>2</v>
      </c>
      <c r="H90" t="s">
        <v>5</v>
      </c>
      <c r="I90">
        <v>87220</v>
      </c>
      <c r="J90">
        <v>375765</v>
      </c>
      <c r="K90">
        <f t="shared" si="8"/>
        <v>0.18838623281531799</v>
      </c>
    </row>
    <row r="91" spans="1:11" x14ac:dyDescent="0.2">
      <c r="A91">
        <v>2025</v>
      </c>
      <c r="B91" t="s">
        <v>10</v>
      </c>
      <c r="C91" t="str">
        <f t="shared" si="9"/>
        <v>8C 3030 2B</v>
      </c>
      <c r="D91" t="str">
        <f t="shared" ref="D91:D97" si="10">E91&amp;"C"&amp;" "&amp;F91&amp;" "&amp;G91</f>
        <v>8C 3030 2</v>
      </c>
      <c r="E91">
        <v>8</v>
      </c>
      <c r="F91">
        <v>3030</v>
      </c>
      <c r="G91">
        <v>2</v>
      </c>
      <c r="H91" t="s">
        <v>6</v>
      </c>
      <c r="I91">
        <v>94633</v>
      </c>
      <c r="J91">
        <v>441764</v>
      </c>
      <c r="K91">
        <f t="shared" si="8"/>
        <v>0.17642343264410501</v>
      </c>
    </row>
    <row r="92" spans="1:11" x14ac:dyDescent="0.2">
      <c r="A92">
        <v>2025</v>
      </c>
      <c r="B92" t="s">
        <v>10</v>
      </c>
      <c r="C92" t="str">
        <f t="shared" si="9"/>
        <v>8C 3030 2C</v>
      </c>
      <c r="D92" t="str">
        <f t="shared" si="10"/>
        <v>8C 3030 2</v>
      </c>
      <c r="E92">
        <v>8</v>
      </c>
      <c r="F92">
        <v>3030</v>
      </c>
      <c r="G92">
        <v>2</v>
      </c>
      <c r="H92" t="s">
        <v>7</v>
      </c>
      <c r="I92">
        <v>20957</v>
      </c>
      <c r="J92">
        <v>365684</v>
      </c>
      <c r="K92">
        <f t="shared" si="8"/>
        <v>5.420273587126042E-2</v>
      </c>
    </row>
    <row r="93" spans="1:11" x14ac:dyDescent="0.2">
      <c r="A93">
        <v>2025</v>
      </c>
      <c r="B93" t="s">
        <v>10</v>
      </c>
      <c r="C93" t="str">
        <f t="shared" si="9"/>
        <v>8C 3030 2D</v>
      </c>
      <c r="D93" t="str">
        <f t="shared" si="10"/>
        <v>8C 3030 2</v>
      </c>
      <c r="E93">
        <v>8</v>
      </c>
      <c r="F93">
        <v>3030</v>
      </c>
      <c r="G93">
        <v>2</v>
      </c>
      <c r="H93" t="s">
        <v>8</v>
      </c>
      <c r="I93">
        <v>107513</v>
      </c>
      <c r="J93">
        <v>561343</v>
      </c>
      <c r="K93">
        <f t="shared" si="8"/>
        <v>0.16074162450512516</v>
      </c>
    </row>
    <row r="94" spans="1:11" x14ac:dyDescent="0.2">
      <c r="A94">
        <v>2025</v>
      </c>
      <c r="B94" t="s">
        <v>10</v>
      </c>
      <c r="C94" t="str">
        <f t="shared" si="9"/>
        <v>8C 3030 3A</v>
      </c>
      <c r="D94" t="str">
        <f t="shared" si="10"/>
        <v>8C 3030 3</v>
      </c>
      <c r="E94">
        <v>8</v>
      </c>
      <c r="F94">
        <v>3030</v>
      </c>
      <c r="G94">
        <v>3</v>
      </c>
      <c r="H94" t="s">
        <v>5</v>
      </c>
      <c r="I94">
        <v>19748</v>
      </c>
      <c r="J94">
        <v>301507</v>
      </c>
      <c r="K94">
        <f t="shared" ref="K94:K157" si="11">I94/(I94+J94)</f>
        <v>6.1471416787287354E-2</v>
      </c>
    </row>
    <row r="95" spans="1:11" x14ac:dyDescent="0.2">
      <c r="A95">
        <v>2025</v>
      </c>
      <c r="B95" t="s">
        <v>10</v>
      </c>
      <c r="C95" t="str">
        <f t="shared" si="9"/>
        <v>8C 3030 3B</v>
      </c>
      <c r="D95" t="str">
        <f t="shared" si="10"/>
        <v>8C 3030 3</v>
      </c>
      <c r="E95">
        <v>8</v>
      </c>
      <c r="F95">
        <v>3030</v>
      </c>
      <c r="G95">
        <v>3</v>
      </c>
      <c r="H95" t="s">
        <v>6</v>
      </c>
      <c r="I95">
        <v>29819</v>
      </c>
      <c r="J95">
        <v>477861</v>
      </c>
      <c r="K95">
        <f t="shared" si="11"/>
        <v>5.8735817838008193E-2</v>
      </c>
    </row>
    <row r="96" spans="1:11" x14ac:dyDescent="0.2">
      <c r="A96">
        <v>2025</v>
      </c>
      <c r="B96" t="s">
        <v>10</v>
      </c>
      <c r="C96" t="str">
        <f t="shared" si="9"/>
        <v>8C 3030 3C</v>
      </c>
      <c r="D96" t="str">
        <f t="shared" si="10"/>
        <v>8C 3030 3</v>
      </c>
      <c r="E96">
        <v>8</v>
      </c>
      <c r="F96">
        <v>3030</v>
      </c>
      <c r="G96">
        <v>3</v>
      </c>
      <c r="H96" t="s">
        <v>7</v>
      </c>
      <c r="I96">
        <v>44034</v>
      </c>
      <c r="J96">
        <v>447502</v>
      </c>
      <c r="K96">
        <f t="shared" si="11"/>
        <v>8.9584486182090431E-2</v>
      </c>
    </row>
    <row r="97" spans="1:11" x14ac:dyDescent="0.2">
      <c r="A97">
        <v>2025</v>
      </c>
      <c r="B97" t="s">
        <v>10</v>
      </c>
      <c r="C97" t="str">
        <f t="shared" si="9"/>
        <v>8C 3030 3D</v>
      </c>
      <c r="D97" t="str">
        <f t="shared" si="10"/>
        <v>8C 3030 3</v>
      </c>
      <c r="E97">
        <v>8</v>
      </c>
      <c r="F97">
        <v>3030</v>
      </c>
      <c r="G97">
        <v>3</v>
      </c>
      <c r="H97" t="s">
        <v>8</v>
      </c>
      <c r="I97">
        <v>32472</v>
      </c>
      <c r="J97">
        <v>379182</v>
      </c>
      <c r="K97">
        <f t="shared" si="11"/>
        <v>7.8881779358393217E-2</v>
      </c>
    </row>
    <row r="98" spans="1:11" x14ac:dyDescent="0.2">
      <c r="A98">
        <v>2025</v>
      </c>
      <c r="B98" t="s">
        <v>10</v>
      </c>
      <c r="C98" t="str">
        <f t="shared" si="9"/>
        <v>8C 2060 1A</v>
      </c>
      <c r="D98" t="str">
        <f>E98&amp;"C"&amp;" "&amp;F98&amp;" "&amp;G98</f>
        <v>8C 2060 1</v>
      </c>
      <c r="E98">
        <v>8</v>
      </c>
      <c r="F98">
        <v>2060</v>
      </c>
      <c r="G98">
        <v>1</v>
      </c>
      <c r="H98" t="s">
        <v>5</v>
      </c>
      <c r="I98">
        <v>40941</v>
      </c>
      <c r="J98">
        <v>378334</v>
      </c>
      <c r="K98">
        <f t="shared" si="11"/>
        <v>9.7647128972631322E-2</v>
      </c>
    </row>
    <row r="99" spans="1:11" x14ac:dyDescent="0.2">
      <c r="A99">
        <v>2025</v>
      </c>
      <c r="B99" t="s">
        <v>10</v>
      </c>
      <c r="C99" t="str">
        <f t="shared" si="9"/>
        <v>8C 2060 1B</v>
      </c>
      <c r="D99" t="str">
        <f t="shared" ref="D99:D121" si="12">E99&amp;"C"&amp;" "&amp;F99&amp;" "&amp;G99</f>
        <v>8C 2060 1</v>
      </c>
      <c r="E99">
        <v>8</v>
      </c>
      <c r="F99">
        <v>2060</v>
      </c>
      <c r="G99">
        <v>1</v>
      </c>
      <c r="H99" t="s">
        <v>6</v>
      </c>
      <c r="I99">
        <v>195235</v>
      </c>
      <c r="J99">
        <v>206168</v>
      </c>
      <c r="K99">
        <f t="shared" si="11"/>
        <v>0.48638151682971975</v>
      </c>
    </row>
    <row r="100" spans="1:11" x14ac:dyDescent="0.2">
      <c r="A100">
        <v>2025</v>
      </c>
      <c r="B100" t="s">
        <v>10</v>
      </c>
      <c r="C100" t="str">
        <f t="shared" si="9"/>
        <v>8C 2060 1C</v>
      </c>
      <c r="D100" t="str">
        <f t="shared" si="12"/>
        <v>8C 2060 1</v>
      </c>
      <c r="E100">
        <v>8</v>
      </c>
      <c r="F100">
        <v>2060</v>
      </c>
      <c r="G100">
        <v>1</v>
      </c>
      <c r="H100" t="s">
        <v>7</v>
      </c>
      <c r="I100">
        <v>25023</v>
      </c>
      <c r="J100">
        <v>352347</v>
      </c>
      <c r="K100">
        <f t="shared" si="11"/>
        <v>6.6308927577708884E-2</v>
      </c>
    </row>
    <row r="101" spans="1:11" x14ac:dyDescent="0.2">
      <c r="A101">
        <v>2025</v>
      </c>
      <c r="B101" t="s">
        <v>10</v>
      </c>
      <c r="C101" t="str">
        <f t="shared" si="9"/>
        <v>8C 2060 1D</v>
      </c>
      <c r="D101" t="str">
        <f t="shared" si="12"/>
        <v>8C 2060 1</v>
      </c>
      <c r="E101">
        <v>8</v>
      </c>
      <c r="F101">
        <v>2060</v>
      </c>
      <c r="G101">
        <v>1</v>
      </c>
      <c r="H101" t="s">
        <v>8</v>
      </c>
      <c r="I101">
        <v>10822</v>
      </c>
      <c r="J101">
        <v>297756</v>
      </c>
      <c r="K101">
        <f t="shared" si="11"/>
        <v>3.5070549423484497E-2</v>
      </c>
    </row>
    <row r="102" spans="1:11" x14ac:dyDescent="0.2">
      <c r="A102">
        <v>2025</v>
      </c>
      <c r="B102" t="s">
        <v>10</v>
      </c>
      <c r="C102" t="str">
        <f t="shared" si="9"/>
        <v>8C 2060 2A</v>
      </c>
      <c r="D102" t="str">
        <f t="shared" si="12"/>
        <v>8C 2060 2</v>
      </c>
      <c r="E102">
        <v>8</v>
      </c>
      <c r="F102">
        <v>2060</v>
      </c>
      <c r="G102">
        <v>2</v>
      </c>
      <c r="H102" t="s">
        <v>5</v>
      </c>
      <c r="I102">
        <v>23244</v>
      </c>
      <c r="J102">
        <v>451659</v>
      </c>
      <c r="K102">
        <f t="shared" si="11"/>
        <v>4.8944731871561141E-2</v>
      </c>
    </row>
    <row r="103" spans="1:11" x14ac:dyDescent="0.2">
      <c r="A103">
        <v>2025</v>
      </c>
      <c r="B103" t="s">
        <v>10</v>
      </c>
      <c r="C103" t="str">
        <f t="shared" si="9"/>
        <v>8C 2060 2B</v>
      </c>
      <c r="D103" t="str">
        <f t="shared" si="12"/>
        <v>8C 2060 2</v>
      </c>
      <c r="E103">
        <v>8</v>
      </c>
      <c r="F103">
        <v>2060</v>
      </c>
      <c r="G103">
        <v>2</v>
      </c>
      <c r="H103" t="s">
        <v>6</v>
      </c>
      <c r="I103">
        <v>188178</v>
      </c>
      <c r="J103">
        <v>422370</v>
      </c>
      <c r="K103">
        <f t="shared" si="11"/>
        <v>0.3082116393797048</v>
      </c>
    </row>
    <row r="104" spans="1:11" x14ac:dyDescent="0.2">
      <c r="A104">
        <v>2025</v>
      </c>
      <c r="B104" t="s">
        <v>10</v>
      </c>
      <c r="C104" t="str">
        <f t="shared" si="9"/>
        <v>8C 2060 2C</v>
      </c>
      <c r="D104" t="str">
        <f t="shared" si="12"/>
        <v>8C 2060 2</v>
      </c>
      <c r="E104">
        <v>8</v>
      </c>
      <c r="F104">
        <v>2060</v>
      </c>
      <c r="G104">
        <v>2</v>
      </c>
      <c r="H104" t="s">
        <v>7</v>
      </c>
      <c r="I104">
        <v>36868</v>
      </c>
      <c r="J104">
        <v>519053</v>
      </c>
      <c r="K104">
        <f t="shared" si="11"/>
        <v>6.6318775509469866E-2</v>
      </c>
    </row>
    <row r="105" spans="1:11" x14ac:dyDescent="0.2">
      <c r="A105">
        <v>2025</v>
      </c>
      <c r="B105" t="s">
        <v>10</v>
      </c>
      <c r="C105" t="str">
        <f t="shared" si="9"/>
        <v>8C 2060 2D</v>
      </c>
      <c r="D105" t="str">
        <f t="shared" si="12"/>
        <v>8C 2060 2</v>
      </c>
      <c r="E105">
        <v>8</v>
      </c>
      <c r="F105">
        <v>2060</v>
      </c>
      <c r="G105">
        <v>2</v>
      </c>
      <c r="H105" t="s">
        <v>8</v>
      </c>
      <c r="I105">
        <v>24635</v>
      </c>
      <c r="J105">
        <v>559962</v>
      </c>
      <c r="K105">
        <f t="shared" si="11"/>
        <v>4.2140140986012584E-2</v>
      </c>
    </row>
    <row r="106" spans="1:11" x14ac:dyDescent="0.2">
      <c r="A106">
        <v>2025</v>
      </c>
      <c r="B106" t="s">
        <v>10</v>
      </c>
      <c r="C106" t="str">
        <f t="shared" si="9"/>
        <v>8C 2060 3A</v>
      </c>
      <c r="D106" t="str">
        <f t="shared" si="12"/>
        <v>8C 2060 3</v>
      </c>
      <c r="E106">
        <v>8</v>
      </c>
      <c r="F106">
        <v>2060</v>
      </c>
      <c r="G106">
        <v>3</v>
      </c>
      <c r="H106" t="s">
        <v>5</v>
      </c>
      <c r="I106">
        <v>42415</v>
      </c>
      <c r="J106">
        <v>426423</v>
      </c>
      <c r="K106">
        <f t="shared" si="11"/>
        <v>9.0468349408537707E-2</v>
      </c>
    </row>
    <row r="107" spans="1:11" x14ac:dyDescent="0.2">
      <c r="A107">
        <v>2025</v>
      </c>
      <c r="B107" t="s">
        <v>10</v>
      </c>
      <c r="C107" t="str">
        <f t="shared" si="9"/>
        <v>8C 2060 3B</v>
      </c>
      <c r="D107" t="str">
        <f t="shared" si="12"/>
        <v>8C 2060 3</v>
      </c>
      <c r="E107">
        <v>8</v>
      </c>
      <c r="F107">
        <v>2060</v>
      </c>
      <c r="G107">
        <v>3</v>
      </c>
      <c r="H107" t="s">
        <v>6</v>
      </c>
      <c r="I107">
        <v>45439</v>
      </c>
      <c r="J107">
        <v>501841</v>
      </c>
      <c r="K107">
        <f t="shared" si="11"/>
        <v>8.3026969741265902E-2</v>
      </c>
    </row>
    <row r="108" spans="1:11" x14ac:dyDescent="0.2">
      <c r="A108">
        <v>2025</v>
      </c>
      <c r="B108" t="s">
        <v>10</v>
      </c>
      <c r="C108" t="str">
        <f t="shared" si="9"/>
        <v>8C 2060 3C</v>
      </c>
      <c r="D108" t="str">
        <f t="shared" si="12"/>
        <v>8C 2060 3</v>
      </c>
      <c r="E108">
        <v>8</v>
      </c>
      <c r="F108">
        <v>2060</v>
      </c>
      <c r="G108">
        <v>3</v>
      </c>
      <c r="H108" t="s">
        <v>7</v>
      </c>
      <c r="I108">
        <v>83824</v>
      </c>
      <c r="J108">
        <v>441362</v>
      </c>
      <c r="K108">
        <f t="shared" si="11"/>
        <v>0.15960821499430677</v>
      </c>
    </row>
    <row r="109" spans="1:11" x14ac:dyDescent="0.2">
      <c r="A109">
        <v>2025</v>
      </c>
      <c r="B109" t="s">
        <v>10</v>
      </c>
      <c r="C109" t="str">
        <f t="shared" si="9"/>
        <v>8C 2060 3D</v>
      </c>
      <c r="D109" t="str">
        <f t="shared" si="12"/>
        <v>8C 2060 3</v>
      </c>
      <c r="E109">
        <v>8</v>
      </c>
      <c r="F109">
        <v>2060</v>
      </c>
      <c r="G109">
        <v>3</v>
      </c>
      <c r="H109" t="s">
        <v>8</v>
      </c>
      <c r="I109">
        <v>251009</v>
      </c>
      <c r="J109">
        <v>385059</v>
      </c>
      <c r="K109">
        <f t="shared" si="11"/>
        <v>0.39462604627178227</v>
      </c>
    </row>
    <row r="110" spans="1:11" x14ac:dyDescent="0.2">
      <c r="A110">
        <v>2025</v>
      </c>
      <c r="B110" t="s">
        <v>10</v>
      </c>
      <c r="C110" t="str">
        <f t="shared" si="9"/>
        <v>8C 6060 1A</v>
      </c>
      <c r="D110" t="str">
        <f t="shared" si="12"/>
        <v>8C 6060 1</v>
      </c>
      <c r="E110">
        <v>8</v>
      </c>
      <c r="F110">
        <v>6060</v>
      </c>
      <c r="G110">
        <v>1</v>
      </c>
      <c r="H110" t="s">
        <v>5</v>
      </c>
      <c r="I110">
        <v>168535</v>
      </c>
      <c r="J110">
        <v>309925</v>
      </c>
      <c r="K110">
        <f t="shared" si="11"/>
        <v>0.35224470175145256</v>
      </c>
    </row>
    <row r="111" spans="1:11" x14ac:dyDescent="0.2">
      <c r="A111">
        <v>2025</v>
      </c>
      <c r="B111" t="s">
        <v>10</v>
      </c>
      <c r="C111" t="str">
        <f t="shared" si="9"/>
        <v>8C 6060 1B</v>
      </c>
      <c r="D111" t="str">
        <f t="shared" si="12"/>
        <v>8C 6060 1</v>
      </c>
      <c r="E111">
        <v>8</v>
      </c>
      <c r="F111">
        <v>6060</v>
      </c>
      <c r="G111">
        <v>1</v>
      </c>
      <c r="H111" t="s">
        <v>6</v>
      </c>
      <c r="I111">
        <v>146849</v>
      </c>
      <c r="J111">
        <v>245296</v>
      </c>
      <c r="K111">
        <f t="shared" si="11"/>
        <v>0.37447627790740667</v>
      </c>
    </row>
    <row r="112" spans="1:11" x14ac:dyDescent="0.2">
      <c r="A112">
        <v>2025</v>
      </c>
      <c r="B112" t="s">
        <v>10</v>
      </c>
      <c r="C112" t="str">
        <f t="shared" si="9"/>
        <v>8C 6060 1C</v>
      </c>
      <c r="D112" t="str">
        <f t="shared" si="12"/>
        <v>8C 6060 1</v>
      </c>
      <c r="E112">
        <v>8</v>
      </c>
      <c r="F112">
        <v>6060</v>
      </c>
      <c r="G112">
        <v>1</v>
      </c>
      <c r="H112" t="s">
        <v>7</v>
      </c>
      <c r="I112">
        <v>188613</v>
      </c>
      <c r="J112">
        <v>228023</v>
      </c>
      <c r="K112">
        <f t="shared" si="11"/>
        <v>0.45270451905260228</v>
      </c>
    </row>
    <row r="113" spans="1:11" x14ac:dyDescent="0.2">
      <c r="A113">
        <v>2025</v>
      </c>
      <c r="B113" t="s">
        <v>10</v>
      </c>
      <c r="C113" t="str">
        <f t="shared" si="9"/>
        <v>8C 6060 1D</v>
      </c>
      <c r="D113" t="str">
        <f t="shared" si="12"/>
        <v>8C 6060 1</v>
      </c>
      <c r="E113">
        <v>8</v>
      </c>
      <c r="F113">
        <v>6060</v>
      </c>
      <c r="G113">
        <v>1</v>
      </c>
      <c r="H113" t="s">
        <v>8</v>
      </c>
      <c r="I113">
        <v>149321</v>
      </c>
      <c r="J113">
        <v>303502</v>
      </c>
      <c r="K113">
        <f t="shared" si="11"/>
        <v>0.32975577653961924</v>
      </c>
    </row>
    <row r="114" spans="1:11" x14ac:dyDescent="0.2">
      <c r="A114">
        <v>2025</v>
      </c>
      <c r="B114" t="s">
        <v>10</v>
      </c>
      <c r="C114" t="str">
        <f t="shared" si="9"/>
        <v>8C 6060 2A</v>
      </c>
      <c r="D114" t="str">
        <f t="shared" si="12"/>
        <v>8C 6060 2</v>
      </c>
      <c r="E114">
        <v>8</v>
      </c>
      <c r="F114">
        <v>6060</v>
      </c>
      <c r="G114">
        <v>2</v>
      </c>
      <c r="H114" t="s">
        <v>5</v>
      </c>
      <c r="I114">
        <v>189164</v>
      </c>
      <c r="J114">
        <v>242734</v>
      </c>
      <c r="K114">
        <f t="shared" si="11"/>
        <v>0.4379830422923931</v>
      </c>
    </row>
    <row r="115" spans="1:11" x14ac:dyDescent="0.2">
      <c r="A115">
        <v>2025</v>
      </c>
      <c r="B115" t="s">
        <v>10</v>
      </c>
      <c r="C115" t="str">
        <f t="shared" si="9"/>
        <v>8C 6060 2B</v>
      </c>
      <c r="D115" t="str">
        <f t="shared" si="12"/>
        <v>8C 6060 2</v>
      </c>
      <c r="E115">
        <v>8</v>
      </c>
      <c r="F115">
        <v>6060</v>
      </c>
      <c r="G115">
        <v>2</v>
      </c>
      <c r="H115" t="s">
        <v>6</v>
      </c>
      <c r="I115">
        <v>242023</v>
      </c>
      <c r="J115">
        <v>240147</v>
      </c>
      <c r="K115">
        <f t="shared" si="11"/>
        <v>0.50194537196424494</v>
      </c>
    </row>
    <row r="116" spans="1:11" x14ac:dyDescent="0.2">
      <c r="A116">
        <v>2025</v>
      </c>
      <c r="B116" t="s">
        <v>10</v>
      </c>
      <c r="C116" t="str">
        <f t="shared" si="9"/>
        <v>8C 6060 2C</v>
      </c>
      <c r="D116" t="str">
        <f t="shared" si="12"/>
        <v>8C 6060 2</v>
      </c>
      <c r="E116">
        <v>8</v>
      </c>
      <c r="F116">
        <v>6060</v>
      </c>
      <c r="G116">
        <v>2</v>
      </c>
      <c r="H116" t="s">
        <v>7</v>
      </c>
      <c r="I116">
        <v>273627</v>
      </c>
      <c r="J116">
        <v>194584</v>
      </c>
      <c r="K116">
        <f t="shared" si="11"/>
        <v>0.58440959311079832</v>
      </c>
    </row>
    <row r="117" spans="1:11" x14ac:dyDescent="0.2">
      <c r="A117">
        <v>2025</v>
      </c>
      <c r="B117" t="s">
        <v>10</v>
      </c>
      <c r="C117" t="str">
        <f t="shared" si="9"/>
        <v>8C 6060 2D</v>
      </c>
      <c r="D117" t="str">
        <f t="shared" si="12"/>
        <v>8C 6060 2</v>
      </c>
      <c r="E117">
        <v>8</v>
      </c>
      <c r="F117">
        <v>6060</v>
      </c>
      <c r="G117">
        <v>2</v>
      </c>
      <c r="H117" t="s">
        <v>8</v>
      </c>
      <c r="I117">
        <v>372520</v>
      </c>
      <c r="J117">
        <v>177481</v>
      </c>
      <c r="K117">
        <f t="shared" si="11"/>
        <v>0.67730785944025551</v>
      </c>
    </row>
    <row r="118" spans="1:11" x14ac:dyDescent="0.2">
      <c r="A118">
        <v>2025</v>
      </c>
      <c r="B118" t="s">
        <v>10</v>
      </c>
      <c r="C118" t="str">
        <f t="shared" si="9"/>
        <v>8C 6060 3A</v>
      </c>
      <c r="D118" t="str">
        <f t="shared" si="12"/>
        <v>8C 6060 3</v>
      </c>
      <c r="E118">
        <v>8</v>
      </c>
      <c r="F118">
        <v>6060</v>
      </c>
      <c r="G118">
        <v>3</v>
      </c>
      <c r="H118" t="s">
        <v>5</v>
      </c>
      <c r="I118">
        <v>327077</v>
      </c>
      <c r="J118">
        <v>99423</v>
      </c>
      <c r="K118">
        <f t="shared" si="11"/>
        <v>0.76688628370457212</v>
      </c>
    </row>
    <row r="119" spans="1:11" x14ac:dyDescent="0.2">
      <c r="A119">
        <v>2025</v>
      </c>
      <c r="B119" t="s">
        <v>10</v>
      </c>
      <c r="C119" t="str">
        <f t="shared" si="9"/>
        <v>8C 6060 3B</v>
      </c>
      <c r="D119" t="str">
        <f t="shared" si="12"/>
        <v>8C 6060 3</v>
      </c>
      <c r="E119">
        <v>8</v>
      </c>
      <c r="F119">
        <v>6060</v>
      </c>
      <c r="G119">
        <v>3</v>
      </c>
      <c r="H119" t="s">
        <v>6</v>
      </c>
      <c r="I119">
        <v>318005</v>
      </c>
      <c r="J119">
        <v>214314</v>
      </c>
      <c r="K119">
        <f t="shared" si="11"/>
        <v>0.59739554665529504</v>
      </c>
    </row>
    <row r="120" spans="1:11" x14ac:dyDescent="0.2">
      <c r="A120">
        <v>2025</v>
      </c>
      <c r="B120" t="s">
        <v>10</v>
      </c>
      <c r="C120" t="str">
        <f t="shared" si="9"/>
        <v>8C 6060 3C</v>
      </c>
      <c r="D120" t="str">
        <f t="shared" si="12"/>
        <v>8C 6060 3</v>
      </c>
      <c r="E120">
        <v>8</v>
      </c>
      <c r="F120">
        <v>6060</v>
      </c>
      <c r="G120">
        <v>3</v>
      </c>
      <c r="H120" t="s">
        <v>7</v>
      </c>
      <c r="I120">
        <v>145612</v>
      </c>
      <c r="J120">
        <v>324413</v>
      </c>
      <c r="K120">
        <f t="shared" si="11"/>
        <v>0.3097962874315196</v>
      </c>
    </row>
    <row r="121" spans="1:11" x14ac:dyDescent="0.2">
      <c r="A121">
        <v>2025</v>
      </c>
      <c r="B121" t="s">
        <v>10</v>
      </c>
      <c r="C121" t="str">
        <f t="shared" si="9"/>
        <v>8C 6060 3D</v>
      </c>
      <c r="D121" t="str">
        <f t="shared" si="12"/>
        <v>8C 6060 3</v>
      </c>
      <c r="E121">
        <v>8</v>
      </c>
      <c r="F121">
        <v>6060</v>
      </c>
      <c r="G121">
        <v>3</v>
      </c>
      <c r="H121" t="s">
        <v>8</v>
      </c>
      <c r="I121">
        <v>102974</v>
      </c>
      <c r="J121">
        <v>330750</v>
      </c>
      <c r="K121">
        <f t="shared" si="11"/>
        <v>0.23741826599404228</v>
      </c>
    </row>
    <row r="122" spans="1:11" x14ac:dyDescent="0.2">
      <c r="A122">
        <v>2025</v>
      </c>
      <c r="B122" t="s">
        <v>10</v>
      </c>
      <c r="C122" t="str">
        <f>E122&amp;"C"&amp;" "&amp;F122&amp;" "&amp;G122&amp;H122</f>
        <v>11C 2030 1A</v>
      </c>
      <c r="D122" t="str">
        <f>E122&amp;"C"&amp;" "&amp;F122&amp;" "&amp;G122</f>
        <v>11C 2030 1</v>
      </c>
      <c r="E122">
        <v>11</v>
      </c>
      <c r="F122">
        <v>2030</v>
      </c>
      <c r="G122">
        <v>1</v>
      </c>
      <c r="H122" t="s">
        <v>5</v>
      </c>
      <c r="I122">
        <v>447389</v>
      </c>
      <c r="J122">
        <v>341</v>
      </c>
      <c r="K122">
        <f t="shared" si="11"/>
        <v>0.99923838027382572</v>
      </c>
    </row>
    <row r="123" spans="1:11" x14ac:dyDescent="0.2">
      <c r="A123">
        <v>2025</v>
      </c>
      <c r="B123" t="s">
        <v>10</v>
      </c>
      <c r="C123" t="str">
        <f t="shared" ref="C123:C169" si="13">E123&amp;"C"&amp;" "&amp;F123&amp;" "&amp;G123&amp;H123</f>
        <v>11C 2030 1B</v>
      </c>
      <c r="D123" t="str">
        <f t="shared" ref="D123:D154" si="14">E123&amp;"C"&amp;" "&amp;F123&amp;" "&amp;G123</f>
        <v>11C 2030 1</v>
      </c>
      <c r="E123">
        <v>11</v>
      </c>
      <c r="F123">
        <v>2030</v>
      </c>
      <c r="G123">
        <v>1</v>
      </c>
      <c r="H123" t="s">
        <v>6</v>
      </c>
      <c r="I123">
        <v>598529</v>
      </c>
      <c r="J123">
        <v>439</v>
      </c>
      <c r="K123">
        <f t="shared" si="11"/>
        <v>0.99926707269837456</v>
      </c>
    </row>
    <row r="124" spans="1:11" x14ac:dyDescent="0.2">
      <c r="A124">
        <v>2025</v>
      </c>
      <c r="B124" t="s">
        <v>10</v>
      </c>
      <c r="C124" t="str">
        <f t="shared" si="13"/>
        <v>11C 2030 1C</v>
      </c>
      <c r="D124" t="str">
        <f t="shared" si="14"/>
        <v>11C 2030 1</v>
      </c>
      <c r="E124">
        <v>11</v>
      </c>
      <c r="F124">
        <v>2030</v>
      </c>
      <c r="G124">
        <v>1</v>
      </c>
      <c r="H124" t="s">
        <v>7</v>
      </c>
      <c r="I124">
        <v>703464</v>
      </c>
      <c r="J124">
        <v>1914</v>
      </c>
      <c r="K124">
        <f t="shared" si="11"/>
        <v>0.99728656124801174</v>
      </c>
    </row>
    <row r="125" spans="1:11" x14ac:dyDescent="0.2">
      <c r="A125">
        <v>2025</v>
      </c>
      <c r="B125" t="s">
        <v>10</v>
      </c>
      <c r="C125" t="str">
        <f t="shared" si="13"/>
        <v>11C 2030 1D</v>
      </c>
      <c r="D125" t="str">
        <f t="shared" si="14"/>
        <v>11C 2030 1</v>
      </c>
      <c r="E125">
        <v>11</v>
      </c>
      <c r="F125">
        <v>2030</v>
      </c>
      <c r="G125">
        <v>1</v>
      </c>
      <c r="H125" t="s">
        <v>8</v>
      </c>
      <c r="I125">
        <v>703978</v>
      </c>
      <c r="J125">
        <v>1049</v>
      </c>
      <c r="K125">
        <f t="shared" si="11"/>
        <v>0.99851211372046744</v>
      </c>
    </row>
    <row r="126" spans="1:11" x14ac:dyDescent="0.2">
      <c r="A126">
        <v>2025</v>
      </c>
      <c r="B126" t="s">
        <v>10</v>
      </c>
      <c r="C126" t="str">
        <f t="shared" si="13"/>
        <v>11C 2030 2A</v>
      </c>
      <c r="D126" t="str">
        <f t="shared" si="14"/>
        <v>11C 2030 2</v>
      </c>
      <c r="E126">
        <v>11</v>
      </c>
      <c r="F126">
        <v>2030</v>
      </c>
      <c r="G126">
        <v>2</v>
      </c>
      <c r="H126" t="s">
        <v>5</v>
      </c>
      <c r="I126">
        <v>556551</v>
      </c>
      <c r="J126">
        <v>298</v>
      </c>
      <c r="K126">
        <f t="shared" si="11"/>
        <v>0.99946484594566931</v>
      </c>
    </row>
    <row r="127" spans="1:11" x14ac:dyDescent="0.2">
      <c r="A127">
        <v>2025</v>
      </c>
      <c r="B127" t="s">
        <v>10</v>
      </c>
      <c r="C127" t="str">
        <f t="shared" si="13"/>
        <v>11C 2030 2B</v>
      </c>
      <c r="D127" t="str">
        <f t="shared" si="14"/>
        <v>11C 2030 2</v>
      </c>
      <c r="E127">
        <v>11</v>
      </c>
      <c r="F127">
        <v>2030</v>
      </c>
      <c r="G127">
        <v>2</v>
      </c>
      <c r="H127" t="s">
        <v>6</v>
      </c>
      <c r="I127">
        <v>582479</v>
      </c>
      <c r="J127">
        <v>750</v>
      </c>
      <c r="K127">
        <f t="shared" si="11"/>
        <v>0.99871405571396488</v>
      </c>
    </row>
    <row r="128" spans="1:11" x14ac:dyDescent="0.2">
      <c r="A128">
        <v>2025</v>
      </c>
      <c r="B128" t="s">
        <v>10</v>
      </c>
      <c r="C128" t="str">
        <f t="shared" si="13"/>
        <v>11C 2030 2C</v>
      </c>
      <c r="D128" t="str">
        <f t="shared" si="14"/>
        <v>11C 2030 2</v>
      </c>
      <c r="E128">
        <v>11</v>
      </c>
      <c r="F128">
        <v>2030</v>
      </c>
      <c r="G128">
        <v>2</v>
      </c>
      <c r="H128" t="s">
        <v>7</v>
      </c>
      <c r="I128">
        <v>669505</v>
      </c>
      <c r="J128">
        <v>743</v>
      </c>
      <c r="K128">
        <f t="shared" si="11"/>
        <v>0.99889145510318567</v>
      </c>
    </row>
    <row r="129" spans="1:11" x14ac:dyDescent="0.2">
      <c r="A129">
        <v>2025</v>
      </c>
      <c r="B129" t="s">
        <v>10</v>
      </c>
      <c r="C129" t="str">
        <f t="shared" si="13"/>
        <v>11C 2030 2D</v>
      </c>
      <c r="D129" t="str">
        <f t="shared" si="14"/>
        <v>11C 2030 2</v>
      </c>
      <c r="E129">
        <v>11</v>
      </c>
      <c r="F129">
        <v>2030</v>
      </c>
      <c r="G129">
        <v>2</v>
      </c>
      <c r="H129" t="s">
        <v>8</v>
      </c>
      <c r="I129">
        <v>618768</v>
      </c>
      <c r="J129">
        <v>235</v>
      </c>
      <c r="K129">
        <f t="shared" si="11"/>
        <v>0.99962035725190346</v>
      </c>
    </row>
    <row r="130" spans="1:11" x14ac:dyDescent="0.2">
      <c r="A130">
        <v>2025</v>
      </c>
      <c r="B130" t="s">
        <v>10</v>
      </c>
      <c r="C130" t="str">
        <f t="shared" si="13"/>
        <v>11C 2030 3A</v>
      </c>
      <c r="D130" t="str">
        <f t="shared" si="14"/>
        <v>11C 2030 3</v>
      </c>
      <c r="E130">
        <v>11</v>
      </c>
      <c r="F130">
        <v>2030</v>
      </c>
      <c r="G130">
        <v>3</v>
      </c>
      <c r="H130" t="s">
        <v>5</v>
      </c>
      <c r="I130">
        <v>550283</v>
      </c>
      <c r="J130">
        <v>939</v>
      </c>
      <c r="K130">
        <f t="shared" si="11"/>
        <v>0.9982965121130869</v>
      </c>
    </row>
    <row r="131" spans="1:11" x14ac:dyDescent="0.2">
      <c r="A131">
        <v>2025</v>
      </c>
      <c r="B131" t="s">
        <v>10</v>
      </c>
      <c r="C131" t="str">
        <f t="shared" si="13"/>
        <v>11C 2030 3B</v>
      </c>
      <c r="D131" t="str">
        <f t="shared" si="14"/>
        <v>11C 2030 3</v>
      </c>
      <c r="E131">
        <v>11</v>
      </c>
      <c r="F131">
        <v>2030</v>
      </c>
      <c r="G131">
        <v>3</v>
      </c>
      <c r="H131" t="s">
        <v>6</v>
      </c>
      <c r="I131">
        <v>549172</v>
      </c>
      <c r="J131">
        <v>703</v>
      </c>
      <c r="K131">
        <f t="shared" si="11"/>
        <v>0.99872152761991362</v>
      </c>
    </row>
    <row r="132" spans="1:11" x14ac:dyDescent="0.2">
      <c r="A132">
        <v>2025</v>
      </c>
      <c r="B132" t="s">
        <v>10</v>
      </c>
      <c r="C132" t="str">
        <f t="shared" si="13"/>
        <v>11C 2030 3C</v>
      </c>
      <c r="D132" t="str">
        <f t="shared" si="14"/>
        <v>11C 2030 3</v>
      </c>
      <c r="E132">
        <v>11</v>
      </c>
      <c r="F132">
        <v>2030</v>
      </c>
      <c r="G132">
        <v>3</v>
      </c>
      <c r="H132" t="s">
        <v>7</v>
      </c>
      <c r="I132">
        <v>580676</v>
      </c>
      <c r="J132">
        <v>5060</v>
      </c>
      <c r="K132">
        <f t="shared" si="11"/>
        <v>0.99136129587390909</v>
      </c>
    </row>
    <row r="133" spans="1:11" x14ac:dyDescent="0.2">
      <c r="A133">
        <v>2025</v>
      </c>
      <c r="B133" t="s">
        <v>10</v>
      </c>
      <c r="C133" t="str">
        <f t="shared" si="13"/>
        <v>11C 2030 3D</v>
      </c>
      <c r="D133" t="str">
        <f t="shared" si="14"/>
        <v>11C 2030 3</v>
      </c>
      <c r="E133">
        <v>11</v>
      </c>
      <c r="F133">
        <v>2030</v>
      </c>
      <c r="G133">
        <v>3</v>
      </c>
      <c r="H133" t="s">
        <v>8</v>
      </c>
      <c r="I133">
        <v>670128</v>
      </c>
      <c r="J133">
        <v>4071</v>
      </c>
      <c r="K133">
        <f t="shared" si="11"/>
        <v>0.99396172346740352</v>
      </c>
    </row>
    <row r="134" spans="1:11" x14ac:dyDescent="0.2">
      <c r="A134">
        <v>2025</v>
      </c>
      <c r="B134" t="s">
        <v>10</v>
      </c>
      <c r="C134" t="str">
        <f t="shared" si="13"/>
        <v>11C 3030 1A</v>
      </c>
      <c r="D134" t="str">
        <f t="shared" si="14"/>
        <v>11C 3030 1</v>
      </c>
      <c r="E134">
        <v>11</v>
      </c>
      <c r="F134">
        <v>3030</v>
      </c>
      <c r="G134">
        <v>1</v>
      </c>
      <c r="H134" t="s">
        <v>5</v>
      </c>
      <c r="I134">
        <v>489890</v>
      </c>
      <c r="J134">
        <v>4988</v>
      </c>
      <c r="K134">
        <f t="shared" si="11"/>
        <v>0.98992074814398701</v>
      </c>
    </row>
    <row r="135" spans="1:11" x14ac:dyDescent="0.2">
      <c r="A135">
        <v>2025</v>
      </c>
      <c r="B135" t="s">
        <v>10</v>
      </c>
      <c r="C135" t="str">
        <f t="shared" si="13"/>
        <v>11C 3030 1B</v>
      </c>
      <c r="D135" t="str">
        <f t="shared" si="14"/>
        <v>11C 3030 1</v>
      </c>
      <c r="E135">
        <v>11</v>
      </c>
      <c r="F135">
        <v>3030</v>
      </c>
      <c r="G135">
        <v>1</v>
      </c>
      <c r="H135" t="s">
        <v>6</v>
      </c>
      <c r="I135">
        <v>504003</v>
      </c>
      <c r="J135">
        <v>896</v>
      </c>
      <c r="K135">
        <f t="shared" si="11"/>
        <v>0.99822538765178781</v>
      </c>
    </row>
    <row r="136" spans="1:11" x14ac:dyDescent="0.2">
      <c r="A136">
        <v>2025</v>
      </c>
      <c r="B136" t="s">
        <v>10</v>
      </c>
      <c r="C136" t="str">
        <f t="shared" si="13"/>
        <v>11C 3030 1C</v>
      </c>
      <c r="D136" t="str">
        <f t="shared" si="14"/>
        <v>11C 3030 1</v>
      </c>
      <c r="E136">
        <v>11</v>
      </c>
      <c r="F136">
        <v>3030</v>
      </c>
      <c r="G136">
        <v>1</v>
      </c>
      <c r="H136" t="s">
        <v>7</v>
      </c>
      <c r="I136">
        <v>609947</v>
      </c>
      <c r="J136">
        <v>2706</v>
      </c>
      <c r="K136">
        <f t="shared" si="11"/>
        <v>0.99558314412889515</v>
      </c>
    </row>
    <row r="137" spans="1:11" x14ac:dyDescent="0.2">
      <c r="A137">
        <v>2025</v>
      </c>
      <c r="B137" t="s">
        <v>10</v>
      </c>
      <c r="C137" t="str">
        <f t="shared" si="13"/>
        <v>11C 3030 1D</v>
      </c>
      <c r="D137" t="str">
        <f t="shared" si="14"/>
        <v>11C 3030 1</v>
      </c>
      <c r="E137">
        <v>11</v>
      </c>
      <c r="F137">
        <v>3030</v>
      </c>
      <c r="G137">
        <v>1</v>
      </c>
      <c r="H137" t="s">
        <v>8</v>
      </c>
      <c r="I137">
        <v>544418</v>
      </c>
      <c r="J137">
        <v>9145</v>
      </c>
      <c r="K137">
        <f t="shared" si="11"/>
        <v>0.98347974846584763</v>
      </c>
    </row>
    <row r="138" spans="1:11" x14ac:dyDescent="0.2">
      <c r="A138">
        <v>2025</v>
      </c>
      <c r="B138" t="s">
        <v>10</v>
      </c>
      <c r="C138" t="str">
        <f t="shared" si="13"/>
        <v>11C 3030 2A</v>
      </c>
      <c r="D138" t="str">
        <f t="shared" si="14"/>
        <v>11C 3030 2</v>
      </c>
      <c r="E138">
        <v>11</v>
      </c>
      <c r="F138">
        <v>3030</v>
      </c>
      <c r="G138">
        <v>2</v>
      </c>
      <c r="H138" t="s">
        <v>5</v>
      </c>
      <c r="I138">
        <v>492260</v>
      </c>
      <c r="J138">
        <v>5497</v>
      </c>
      <c r="K138">
        <f t="shared" si="11"/>
        <v>0.98895645867360982</v>
      </c>
    </row>
    <row r="139" spans="1:11" x14ac:dyDescent="0.2">
      <c r="A139">
        <v>2025</v>
      </c>
      <c r="B139" t="s">
        <v>10</v>
      </c>
      <c r="C139" t="str">
        <f t="shared" si="13"/>
        <v>11C 3030 2B</v>
      </c>
      <c r="D139" t="str">
        <f t="shared" si="14"/>
        <v>11C 3030 2</v>
      </c>
      <c r="E139">
        <v>11</v>
      </c>
      <c r="F139">
        <v>3030</v>
      </c>
      <c r="G139">
        <v>2</v>
      </c>
      <c r="H139" t="s">
        <v>6</v>
      </c>
      <c r="I139">
        <v>533096</v>
      </c>
      <c r="J139">
        <v>3799</v>
      </c>
      <c r="K139">
        <f t="shared" si="11"/>
        <v>0.99292412855400036</v>
      </c>
    </row>
    <row r="140" spans="1:11" x14ac:dyDescent="0.2">
      <c r="A140">
        <v>2025</v>
      </c>
      <c r="B140" t="s">
        <v>10</v>
      </c>
      <c r="C140" t="str">
        <f t="shared" si="13"/>
        <v>11C 3030 2C</v>
      </c>
      <c r="D140" t="str">
        <f t="shared" si="14"/>
        <v>11C 3030 2</v>
      </c>
      <c r="E140">
        <v>11</v>
      </c>
      <c r="F140">
        <v>3030</v>
      </c>
      <c r="G140">
        <v>2</v>
      </c>
      <c r="H140" t="s">
        <v>7</v>
      </c>
      <c r="I140">
        <v>561879</v>
      </c>
      <c r="J140">
        <v>1711</v>
      </c>
      <c r="K140">
        <f t="shared" si="11"/>
        <v>0.99696410511187206</v>
      </c>
    </row>
    <row r="141" spans="1:11" x14ac:dyDescent="0.2">
      <c r="A141">
        <v>2025</v>
      </c>
      <c r="B141" t="s">
        <v>10</v>
      </c>
      <c r="C141" t="str">
        <f t="shared" si="13"/>
        <v>11C 3030 2D</v>
      </c>
      <c r="D141" t="str">
        <f t="shared" si="14"/>
        <v>11C 3030 2</v>
      </c>
      <c r="E141">
        <v>11</v>
      </c>
      <c r="F141">
        <v>3030</v>
      </c>
      <c r="G141">
        <v>2</v>
      </c>
      <c r="H141" t="s">
        <v>8</v>
      </c>
      <c r="I141">
        <v>627616</v>
      </c>
      <c r="J141">
        <v>246</v>
      </c>
      <c r="K141">
        <f t="shared" si="11"/>
        <v>0.99960819415731483</v>
      </c>
    </row>
    <row r="142" spans="1:11" x14ac:dyDescent="0.2">
      <c r="A142">
        <v>2025</v>
      </c>
      <c r="B142" t="s">
        <v>10</v>
      </c>
      <c r="C142" t="str">
        <f t="shared" si="13"/>
        <v>11C 3030 3A</v>
      </c>
      <c r="D142" t="str">
        <f t="shared" si="14"/>
        <v>11C 3030 3</v>
      </c>
      <c r="E142">
        <v>11</v>
      </c>
      <c r="F142">
        <v>3030</v>
      </c>
      <c r="G142">
        <v>3</v>
      </c>
      <c r="H142" t="s">
        <v>5</v>
      </c>
      <c r="I142">
        <v>445674</v>
      </c>
      <c r="J142">
        <v>455</v>
      </c>
      <c r="K142">
        <f t="shared" si="11"/>
        <v>0.99898011561678346</v>
      </c>
    </row>
    <row r="143" spans="1:11" x14ac:dyDescent="0.2">
      <c r="A143">
        <v>2025</v>
      </c>
      <c r="B143" t="s">
        <v>10</v>
      </c>
      <c r="C143" t="str">
        <f t="shared" si="13"/>
        <v>11C 3030 3B</v>
      </c>
      <c r="D143" t="str">
        <f t="shared" si="14"/>
        <v>11C 3030 3</v>
      </c>
      <c r="E143">
        <v>11</v>
      </c>
      <c r="F143">
        <v>3030</v>
      </c>
      <c r="G143">
        <v>3</v>
      </c>
      <c r="H143" t="s">
        <v>6</v>
      </c>
      <c r="I143">
        <v>420895</v>
      </c>
      <c r="J143">
        <v>2988</v>
      </c>
      <c r="K143">
        <f t="shared" si="11"/>
        <v>0.99295088503195461</v>
      </c>
    </row>
    <row r="144" spans="1:11" x14ac:dyDescent="0.2">
      <c r="A144">
        <v>2025</v>
      </c>
      <c r="B144" t="s">
        <v>10</v>
      </c>
      <c r="C144" t="str">
        <f t="shared" si="13"/>
        <v>11C 3030 3C</v>
      </c>
      <c r="D144" t="str">
        <f t="shared" si="14"/>
        <v>11C 3030 3</v>
      </c>
      <c r="E144">
        <v>11</v>
      </c>
      <c r="F144">
        <v>3030</v>
      </c>
      <c r="G144">
        <v>3</v>
      </c>
      <c r="H144" t="s">
        <v>7</v>
      </c>
      <c r="I144">
        <v>540267</v>
      </c>
      <c r="J144">
        <v>2408</v>
      </c>
      <c r="K144">
        <f t="shared" si="11"/>
        <v>0.99556272170267657</v>
      </c>
    </row>
    <row r="145" spans="1:11" x14ac:dyDescent="0.2">
      <c r="A145">
        <v>2025</v>
      </c>
      <c r="B145" t="s">
        <v>10</v>
      </c>
      <c r="C145" t="str">
        <f t="shared" si="13"/>
        <v>11C 3030 3D</v>
      </c>
      <c r="D145" t="str">
        <f t="shared" si="14"/>
        <v>11C 3030 3</v>
      </c>
      <c r="E145">
        <v>11</v>
      </c>
      <c r="F145">
        <v>3030</v>
      </c>
      <c r="G145">
        <v>3</v>
      </c>
      <c r="H145" t="s">
        <v>8</v>
      </c>
      <c r="I145">
        <v>541476</v>
      </c>
      <c r="J145">
        <v>1282</v>
      </c>
      <c r="K145">
        <f t="shared" si="11"/>
        <v>0.99763798967495643</v>
      </c>
    </row>
    <row r="146" spans="1:11" x14ac:dyDescent="0.2">
      <c r="A146">
        <v>2025</v>
      </c>
      <c r="B146" t="s">
        <v>10</v>
      </c>
      <c r="C146" t="str">
        <f t="shared" si="13"/>
        <v>11C 2060 1A</v>
      </c>
      <c r="D146" t="str">
        <f t="shared" si="14"/>
        <v>11C 2060 1</v>
      </c>
      <c r="E146">
        <v>11</v>
      </c>
      <c r="F146">
        <v>2060</v>
      </c>
      <c r="G146">
        <v>1</v>
      </c>
      <c r="H146" t="s">
        <v>5</v>
      </c>
      <c r="I146">
        <v>481558</v>
      </c>
      <c r="J146">
        <v>582</v>
      </c>
      <c r="K146">
        <f t="shared" si="11"/>
        <v>0.99879288173559544</v>
      </c>
    </row>
    <row r="147" spans="1:11" x14ac:dyDescent="0.2">
      <c r="A147">
        <v>2025</v>
      </c>
      <c r="B147" t="s">
        <v>10</v>
      </c>
      <c r="C147" t="str">
        <f t="shared" si="13"/>
        <v>11C 2060 1B</v>
      </c>
      <c r="D147" t="str">
        <f t="shared" si="14"/>
        <v>11C 2060 1</v>
      </c>
      <c r="E147">
        <v>11</v>
      </c>
      <c r="F147">
        <v>2060</v>
      </c>
      <c r="G147">
        <v>1</v>
      </c>
      <c r="H147" t="s">
        <v>6</v>
      </c>
      <c r="I147">
        <v>658342</v>
      </c>
      <c r="J147">
        <v>1625</v>
      </c>
      <c r="K147">
        <f t="shared" si="11"/>
        <v>0.99753775567566261</v>
      </c>
    </row>
    <row r="148" spans="1:11" x14ac:dyDescent="0.2">
      <c r="A148">
        <v>2025</v>
      </c>
      <c r="B148" t="s">
        <v>10</v>
      </c>
      <c r="C148" t="str">
        <f t="shared" si="13"/>
        <v>11C 2060 1C</v>
      </c>
      <c r="D148" t="str">
        <f t="shared" si="14"/>
        <v>11C 2060 1</v>
      </c>
      <c r="E148">
        <v>11</v>
      </c>
      <c r="F148">
        <v>2060</v>
      </c>
      <c r="G148">
        <v>1</v>
      </c>
      <c r="H148" t="s">
        <v>7</v>
      </c>
      <c r="I148">
        <v>636237</v>
      </c>
      <c r="J148">
        <v>1852</v>
      </c>
      <c r="K148">
        <f t="shared" si="11"/>
        <v>0.99709758356592892</v>
      </c>
    </row>
    <row r="149" spans="1:11" x14ac:dyDescent="0.2">
      <c r="A149">
        <v>2025</v>
      </c>
      <c r="B149" t="s">
        <v>10</v>
      </c>
      <c r="C149" t="str">
        <f t="shared" si="13"/>
        <v>11C 2060 1D</v>
      </c>
      <c r="D149" t="str">
        <f t="shared" si="14"/>
        <v>11C 2060 1</v>
      </c>
      <c r="E149">
        <v>11</v>
      </c>
      <c r="F149">
        <v>2060</v>
      </c>
      <c r="G149">
        <v>1</v>
      </c>
      <c r="H149" t="s">
        <v>8</v>
      </c>
      <c r="I149">
        <v>556892</v>
      </c>
      <c r="J149">
        <v>581</v>
      </c>
      <c r="K149">
        <f t="shared" si="11"/>
        <v>0.99895779705922982</v>
      </c>
    </row>
    <row r="150" spans="1:11" x14ac:dyDescent="0.2">
      <c r="A150">
        <v>2025</v>
      </c>
      <c r="B150" t="s">
        <v>10</v>
      </c>
      <c r="C150" t="str">
        <f t="shared" si="13"/>
        <v>11C 2060 2A</v>
      </c>
      <c r="D150" t="str">
        <f t="shared" si="14"/>
        <v>11C 2060 2</v>
      </c>
      <c r="E150">
        <v>11</v>
      </c>
      <c r="F150">
        <v>2060</v>
      </c>
      <c r="G150">
        <v>2</v>
      </c>
      <c r="H150" t="s">
        <v>5</v>
      </c>
      <c r="I150">
        <v>534265</v>
      </c>
      <c r="J150">
        <v>370</v>
      </c>
      <c r="K150">
        <f t="shared" si="11"/>
        <v>0.99930793906122872</v>
      </c>
    </row>
    <row r="151" spans="1:11" x14ac:dyDescent="0.2">
      <c r="A151">
        <v>2025</v>
      </c>
      <c r="B151" t="s">
        <v>10</v>
      </c>
      <c r="C151" t="str">
        <f t="shared" si="13"/>
        <v>11C 2060 2B</v>
      </c>
      <c r="D151" t="str">
        <f t="shared" si="14"/>
        <v>11C 2060 2</v>
      </c>
      <c r="E151">
        <v>11</v>
      </c>
      <c r="F151">
        <v>2060</v>
      </c>
      <c r="G151">
        <v>2</v>
      </c>
      <c r="H151" t="s">
        <v>6</v>
      </c>
      <c r="I151">
        <v>587060</v>
      </c>
      <c r="J151">
        <v>423</v>
      </c>
      <c r="K151">
        <f t="shared" si="11"/>
        <v>0.9992799791653546</v>
      </c>
    </row>
    <row r="152" spans="1:11" x14ac:dyDescent="0.2">
      <c r="A152">
        <v>2025</v>
      </c>
      <c r="B152" t="s">
        <v>10</v>
      </c>
      <c r="C152" t="str">
        <f t="shared" si="13"/>
        <v>11C 2060 2C</v>
      </c>
      <c r="D152" t="str">
        <f t="shared" si="14"/>
        <v>11C 2060 2</v>
      </c>
      <c r="E152">
        <v>11</v>
      </c>
      <c r="F152">
        <v>2060</v>
      </c>
      <c r="G152">
        <v>2</v>
      </c>
      <c r="H152" t="s">
        <v>7</v>
      </c>
      <c r="I152">
        <v>581625</v>
      </c>
      <c r="J152">
        <v>509</v>
      </c>
      <c r="K152">
        <f t="shared" si="11"/>
        <v>0.99912563086849415</v>
      </c>
    </row>
    <row r="153" spans="1:11" x14ac:dyDescent="0.2">
      <c r="A153">
        <v>2025</v>
      </c>
      <c r="B153" t="s">
        <v>10</v>
      </c>
      <c r="C153" t="str">
        <f t="shared" si="13"/>
        <v>11C 2060 2D</v>
      </c>
      <c r="D153" t="str">
        <f t="shared" si="14"/>
        <v>11C 2060 2</v>
      </c>
      <c r="E153">
        <v>11</v>
      </c>
      <c r="F153">
        <v>2060</v>
      </c>
      <c r="G153">
        <v>2</v>
      </c>
      <c r="H153" t="s">
        <v>8</v>
      </c>
      <c r="I153">
        <v>622036</v>
      </c>
      <c r="J153">
        <v>789</v>
      </c>
      <c r="K153">
        <f t="shared" si="11"/>
        <v>0.99873319150644246</v>
      </c>
    </row>
    <row r="154" spans="1:11" x14ac:dyDescent="0.2">
      <c r="A154">
        <v>2025</v>
      </c>
      <c r="B154" t="s">
        <v>10</v>
      </c>
      <c r="C154" t="str">
        <f t="shared" si="13"/>
        <v>11C 2060 3A</v>
      </c>
      <c r="D154" t="str">
        <f t="shared" si="14"/>
        <v>11C 2060 3</v>
      </c>
      <c r="E154">
        <v>11</v>
      </c>
      <c r="F154">
        <v>2060</v>
      </c>
      <c r="G154">
        <v>3</v>
      </c>
      <c r="H154" t="s">
        <v>5</v>
      </c>
      <c r="I154">
        <v>536185</v>
      </c>
      <c r="J154">
        <v>19718</v>
      </c>
      <c r="K154">
        <f t="shared" si="11"/>
        <v>0.96452978307366577</v>
      </c>
    </row>
    <row r="155" spans="1:11" x14ac:dyDescent="0.2">
      <c r="A155">
        <v>2025</v>
      </c>
      <c r="B155" t="s">
        <v>10</v>
      </c>
      <c r="C155" t="str">
        <f t="shared" si="13"/>
        <v>11C 2060 3B</v>
      </c>
      <c r="D155" t="str">
        <f>E155&amp;"C"&amp;" "&amp;F155&amp;" "&amp;G155</f>
        <v>11C 2060 3</v>
      </c>
      <c r="E155">
        <v>11</v>
      </c>
      <c r="F155">
        <v>2060</v>
      </c>
      <c r="G155">
        <v>3</v>
      </c>
      <c r="H155" t="s">
        <v>6</v>
      </c>
      <c r="I155">
        <v>559010</v>
      </c>
      <c r="J155">
        <v>738</v>
      </c>
      <c r="K155">
        <f t="shared" si="11"/>
        <v>0.99868154955444233</v>
      </c>
    </row>
    <row r="156" spans="1:11" x14ac:dyDescent="0.2">
      <c r="A156">
        <v>2025</v>
      </c>
      <c r="B156" t="s">
        <v>10</v>
      </c>
      <c r="C156" t="str">
        <f t="shared" si="13"/>
        <v>11C 2060 3C</v>
      </c>
      <c r="D156" t="str">
        <f t="shared" ref="D156:D187" si="15">E156&amp;"C"&amp;" "&amp;F156&amp;" "&amp;G156</f>
        <v>11C 2060 3</v>
      </c>
      <c r="E156">
        <v>11</v>
      </c>
      <c r="F156">
        <v>2060</v>
      </c>
      <c r="G156">
        <v>3</v>
      </c>
      <c r="H156" t="s">
        <v>7</v>
      </c>
      <c r="I156">
        <v>573520</v>
      </c>
      <c r="J156">
        <v>1282</v>
      </c>
      <c r="K156">
        <f t="shared" si="11"/>
        <v>0.99776966677221024</v>
      </c>
    </row>
    <row r="157" spans="1:11" x14ac:dyDescent="0.2">
      <c r="A157">
        <v>2025</v>
      </c>
      <c r="B157" t="s">
        <v>10</v>
      </c>
      <c r="C157" t="str">
        <f t="shared" si="13"/>
        <v>11C 2060 3D</v>
      </c>
      <c r="D157" t="str">
        <f t="shared" si="15"/>
        <v>11C 2060 3</v>
      </c>
      <c r="E157">
        <v>11</v>
      </c>
      <c r="F157">
        <v>2060</v>
      </c>
      <c r="G157">
        <v>3</v>
      </c>
      <c r="H157" t="s">
        <v>8</v>
      </c>
      <c r="I157">
        <v>785738</v>
      </c>
      <c r="J157">
        <v>33098</v>
      </c>
      <c r="K157">
        <f t="shared" si="11"/>
        <v>0.95957920755804582</v>
      </c>
    </row>
    <row r="158" spans="1:11" x14ac:dyDescent="0.2">
      <c r="A158">
        <v>2025</v>
      </c>
      <c r="B158" t="s">
        <v>10</v>
      </c>
      <c r="C158" t="str">
        <f t="shared" si="13"/>
        <v>11C 6060 1A</v>
      </c>
      <c r="D158" t="str">
        <f t="shared" si="15"/>
        <v>11C 6060 1</v>
      </c>
      <c r="E158">
        <v>11</v>
      </c>
      <c r="F158">
        <v>6060</v>
      </c>
      <c r="G158">
        <v>1</v>
      </c>
      <c r="H158" t="s">
        <v>5</v>
      </c>
      <c r="I158">
        <v>568983</v>
      </c>
      <c r="J158">
        <v>631</v>
      </c>
      <c r="K158">
        <f t="shared" ref="K158:K205" si="16">I158/(I158+J158)</f>
        <v>0.99889223228361668</v>
      </c>
    </row>
    <row r="159" spans="1:11" x14ac:dyDescent="0.2">
      <c r="A159">
        <v>2025</v>
      </c>
      <c r="B159" t="s">
        <v>10</v>
      </c>
      <c r="C159" t="str">
        <f t="shared" si="13"/>
        <v>11C 6060 1B</v>
      </c>
      <c r="D159" t="str">
        <f t="shared" si="15"/>
        <v>11C 6060 1</v>
      </c>
      <c r="E159">
        <v>11</v>
      </c>
      <c r="F159">
        <v>6060</v>
      </c>
      <c r="G159">
        <v>1</v>
      </c>
      <c r="H159" t="s">
        <v>6</v>
      </c>
      <c r="I159">
        <v>581241</v>
      </c>
      <c r="J159">
        <v>138</v>
      </c>
      <c r="K159">
        <f t="shared" si="16"/>
        <v>0.99976263332524906</v>
      </c>
    </row>
    <row r="160" spans="1:11" x14ac:dyDescent="0.2">
      <c r="A160">
        <v>2025</v>
      </c>
      <c r="B160" t="s">
        <v>10</v>
      </c>
      <c r="C160" t="str">
        <f t="shared" si="13"/>
        <v>11C 6060 1C</v>
      </c>
      <c r="D160" t="str">
        <f t="shared" si="15"/>
        <v>11C 6060 1</v>
      </c>
      <c r="E160">
        <v>11</v>
      </c>
      <c r="F160">
        <v>6060</v>
      </c>
      <c r="G160">
        <v>1</v>
      </c>
      <c r="H160" t="s">
        <v>7</v>
      </c>
      <c r="I160">
        <v>610241</v>
      </c>
      <c r="J160">
        <v>1625</v>
      </c>
      <c r="K160">
        <f t="shared" si="16"/>
        <v>0.99734418974089101</v>
      </c>
    </row>
    <row r="161" spans="1:11" x14ac:dyDescent="0.2">
      <c r="A161">
        <v>2025</v>
      </c>
      <c r="B161" t="s">
        <v>10</v>
      </c>
      <c r="C161" t="str">
        <f t="shared" si="13"/>
        <v>11C 6060 1D</v>
      </c>
      <c r="D161" t="str">
        <f t="shared" si="15"/>
        <v>11C 6060 1</v>
      </c>
      <c r="E161">
        <v>11</v>
      </c>
      <c r="F161">
        <v>6060</v>
      </c>
      <c r="G161">
        <v>1</v>
      </c>
      <c r="H161" t="s">
        <v>8</v>
      </c>
      <c r="I161">
        <v>641088</v>
      </c>
      <c r="J161">
        <v>988</v>
      </c>
      <c r="K161">
        <f t="shared" si="16"/>
        <v>0.99846124134837622</v>
      </c>
    </row>
    <row r="162" spans="1:11" x14ac:dyDescent="0.2">
      <c r="A162">
        <v>2025</v>
      </c>
      <c r="B162" t="s">
        <v>10</v>
      </c>
      <c r="C162" t="str">
        <f t="shared" si="13"/>
        <v>11C 6060 2A</v>
      </c>
      <c r="D162" t="str">
        <f t="shared" si="15"/>
        <v>11C 6060 2</v>
      </c>
      <c r="E162">
        <v>11</v>
      </c>
      <c r="F162">
        <v>6060</v>
      </c>
      <c r="G162">
        <v>2</v>
      </c>
      <c r="H162" t="s">
        <v>5</v>
      </c>
      <c r="I162">
        <v>471735</v>
      </c>
      <c r="J162">
        <v>57332</v>
      </c>
      <c r="K162">
        <f t="shared" si="16"/>
        <v>0.89163565295132752</v>
      </c>
    </row>
    <row r="163" spans="1:11" x14ac:dyDescent="0.2">
      <c r="A163">
        <v>2025</v>
      </c>
      <c r="B163" t="s">
        <v>10</v>
      </c>
      <c r="C163" t="str">
        <f t="shared" si="13"/>
        <v>11C 6060 2B</v>
      </c>
      <c r="D163" t="str">
        <f t="shared" si="15"/>
        <v>11C 6060 2</v>
      </c>
      <c r="E163">
        <v>11</v>
      </c>
      <c r="F163">
        <v>6060</v>
      </c>
      <c r="G163">
        <v>2</v>
      </c>
      <c r="H163" t="s">
        <v>6</v>
      </c>
      <c r="I163">
        <v>434519</v>
      </c>
      <c r="J163">
        <v>132389</v>
      </c>
      <c r="K163">
        <f t="shared" si="16"/>
        <v>0.76647180847686047</v>
      </c>
    </row>
    <row r="164" spans="1:11" x14ac:dyDescent="0.2">
      <c r="A164">
        <v>2025</v>
      </c>
      <c r="B164" t="s">
        <v>10</v>
      </c>
      <c r="C164" t="str">
        <f t="shared" si="13"/>
        <v>11C 6060 2C</v>
      </c>
      <c r="D164" t="str">
        <f t="shared" si="15"/>
        <v>11C 6060 2</v>
      </c>
      <c r="E164">
        <v>11</v>
      </c>
      <c r="F164">
        <v>6060</v>
      </c>
      <c r="G164">
        <v>2</v>
      </c>
      <c r="H164" t="s">
        <v>7</v>
      </c>
      <c r="I164">
        <v>628274</v>
      </c>
      <c r="J164">
        <v>8122</v>
      </c>
      <c r="K164">
        <f t="shared" si="16"/>
        <v>0.98723750620682715</v>
      </c>
    </row>
    <row r="165" spans="1:11" x14ac:dyDescent="0.2">
      <c r="A165">
        <v>2025</v>
      </c>
      <c r="B165" t="s">
        <v>10</v>
      </c>
      <c r="C165" t="str">
        <f t="shared" si="13"/>
        <v>11C 6060 2D</v>
      </c>
      <c r="D165" t="str">
        <f t="shared" si="15"/>
        <v>11C 6060 2</v>
      </c>
      <c r="E165">
        <v>11</v>
      </c>
      <c r="F165">
        <v>6060</v>
      </c>
      <c r="G165">
        <v>2</v>
      </c>
      <c r="H165" t="s">
        <v>8</v>
      </c>
      <c r="I165">
        <v>613195</v>
      </c>
      <c r="J165">
        <v>330</v>
      </c>
      <c r="K165">
        <f t="shared" si="16"/>
        <v>0.99946212460779915</v>
      </c>
    </row>
    <row r="166" spans="1:11" x14ac:dyDescent="0.2">
      <c r="A166">
        <v>2025</v>
      </c>
      <c r="B166" t="s">
        <v>10</v>
      </c>
      <c r="C166" t="str">
        <f t="shared" si="13"/>
        <v>11C 6060 3A</v>
      </c>
      <c r="D166" t="str">
        <f t="shared" si="15"/>
        <v>11C 6060 3</v>
      </c>
      <c r="E166">
        <v>11</v>
      </c>
      <c r="F166">
        <v>6060</v>
      </c>
      <c r="G166">
        <v>3</v>
      </c>
      <c r="H166" t="s">
        <v>5</v>
      </c>
      <c r="I166">
        <v>618801</v>
      </c>
      <c r="J166">
        <v>777</v>
      </c>
      <c r="K166">
        <f t="shared" si="16"/>
        <v>0.99874592061048006</v>
      </c>
    </row>
    <row r="167" spans="1:11" x14ac:dyDescent="0.2">
      <c r="A167">
        <v>2025</v>
      </c>
      <c r="B167" t="s">
        <v>10</v>
      </c>
      <c r="C167" t="str">
        <f t="shared" si="13"/>
        <v>11C 6060 3B</v>
      </c>
      <c r="D167" t="str">
        <f t="shared" si="15"/>
        <v>11C 6060 3</v>
      </c>
      <c r="E167">
        <v>11</v>
      </c>
      <c r="F167">
        <v>6060</v>
      </c>
      <c r="G167">
        <v>3</v>
      </c>
      <c r="H167" t="s">
        <v>6</v>
      </c>
      <c r="I167">
        <v>605796</v>
      </c>
      <c r="J167">
        <v>653</v>
      </c>
      <c r="K167">
        <f t="shared" si="16"/>
        <v>0.99892324004161936</v>
      </c>
    </row>
    <row r="168" spans="1:11" x14ac:dyDescent="0.2">
      <c r="A168">
        <v>2025</v>
      </c>
      <c r="B168" t="s">
        <v>10</v>
      </c>
      <c r="C168" t="str">
        <f t="shared" si="13"/>
        <v>11C 6060 3C</v>
      </c>
      <c r="D168" t="str">
        <f t="shared" si="15"/>
        <v>11C 6060 3</v>
      </c>
      <c r="E168">
        <v>11</v>
      </c>
      <c r="F168">
        <v>6060</v>
      </c>
      <c r="G168">
        <v>3</v>
      </c>
      <c r="H168" t="s">
        <v>7</v>
      </c>
      <c r="I168">
        <v>661593</v>
      </c>
      <c r="J168">
        <v>1958</v>
      </c>
      <c r="K168">
        <f t="shared" si="16"/>
        <v>0.99704920948050713</v>
      </c>
    </row>
    <row r="169" spans="1:11" x14ac:dyDescent="0.2">
      <c r="A169">
        <v>2025</v>
      </c>
      <c r="B169" t="s">
        <v>10</v>
      </c>
      <c r="C169" t="str">
        <f t="shared" si="13"/>
        <v>11C 6060 3D</v>
      </c>
      <c r="D169" t="str">
        <f t="shared" si="15"/>
        <v>11C 6060 3</v>
      </c>
      <c r="E169">
        <v>11</v>
      </c>
      <c r="F169">
        <v>6060</v>
      </c>
      <c r="G169">
        <v>3</v>
      </c>
      <c r="H169" t="s">
        <v>8</v>
      </c>
      <c r="I169">
        <v>802978</v>
      </c>
      <c r="J169">
        <v>538</v>
      </c>
      <c r="K169">
        <f t="shared" si="16"/>
        <v>0.99933044270431459</v>
      </c>
    </row>
    <row r="170" spans="1:11" x14ac:dyDescent="0.2">
      <c r="A170">
        <v>2025</v>
      </c>
      <c r="B170" t="s">
        <v>24</v>
      </c>
      <c r="C170" t="s">
        <v>25</v>
      </c>
      <c r="D170" t="str">
        <f t="shared" si="15"/>
        <v>11C 3030 4</v>
      </c>
      <c r="E170">
        <v>11</v>
      </c>
      <c r="F170">
        <v>3030</v>
      </c>
      <c r="G170">
        <v>4</v>
      </c>
      <c r="H170" t="s">
        <v>5</v>
      </c>
      <c r="I170">
        <v>405865</v>
      </c>
      <c r="J170">
        <v>2719852</v>
      </c>
      <c r="K170">
        <f t="shared" si="16"/>
        <v>0.12984700790250686</v>
      </c>
    </row>
    <row r="171" spans="1:11" x14ac:dyDescent="0.2">
      <c r="A171">
        <v>2025</v>
      </c>
      <c r="B171" t="s">
        <v>24</v>
      </c>
      <c r="C171" t="s">
        <v>26</v>
      </c>
      <c r="D171" t="str">
        <f t="shared" si="15"/>
        <v>11C 3030 4</v>
      </c>
      <c r="E171">
        <v>11</v>
      </c>
      <c r="F171">
        <v>3030</v>
      </c>
      <c r="G171">
        <v>4</v>
      </c>
      <c r="H171" t="s">
        <v>6</v>
      </c>
      <c r="I171">
        <v>528697</v>
      </c>
      <c r="J171">
        <v>1573810</v>
      </c>
      <c r="K171">
        <f t="shared" si="16"/>
        <v>0.25146028051274028</v>
      </c>
    </row>
    <row r="172" spans="1:11" x14ac:dyDescent="0.2">
      <c r="A172">
        <v>2025</v>
      </c>
      <c r="B172" t="s">
        <v>24</v>
      </c>
      <c r="C172" t="s">
        <v>27</v>
      </c>
      <c r="D172" t="str">
        <f t="shared" si="15"/>
        <v>11C 3030 5</v>
      </c>
      <c r="E172">
        <v>11</v>
      </c>
      <c r="F172">
        <v>3030</v>
      </c>
      <c r="G172">
        <v>5</v>
      </c>
      <c r="H172" t="s">
        <v>5</v>
      </c>
      <c r="I172">
        <v>263805</v>
      </c>
      <c r="J172">
        <v>2035078</v>
      </c>
      <c r="K172">
        <f t="shared" si="16"/>
        <v>0.11475355640108696</v>
      </c>
    </row>
    <row r="173" spans="1:11" x14ac:dyDescent="0.2">
      <c r="A173">
        <v>2025</v>
      </c>
      <c r="B173" t="s">
        <v>24</v>
      </c>
      <c r="C173" t="s">
        <v>28</v>
      </c>
      <c r="D173" t="str">
        <f t="shared" si="15"/>
        <v>11C 3030 5</v>
      </c>
      <c r="E173">
        <v>11</v>
      </c>
      <c r="F173">
        <v>3030</v>
      </c>
      <c r="G173">
        <v>5</v>
      </c>
      <c r="H173" t="s">
        <v>6</v>
      </c>
      <c r="I173">
        <v>194944</v>
      </c>
      <c r="J173">
        <v>1356828</v>
      </c>
      <c r="K173">
        <f t="shared" si="16"/>
        <v>0.12562670289191968</v>
      </c>
    </row>
    <row r="174" spans="1:11" x14ac:dyDescent="0.2">
      <c r="A174">
        <v>2025</v>
      </c>
      <c r="B174" t="s">
        <v>24</v>
      </c>
      <c r="C174" t="s">
        <v>29</v>
      </c>
      <c r="D174" t="str">
        <f t="shared" si="15"/>
        <v>11C 3030 6</v>
      </c>
      <c r="E174">
        <v>11</v>
      </c>
      <c r="F174">
        <v>3030</v>
      </c>
      <c r="G174">
        <v>6</v>
      </c>
      <c r="H174" t="s">
        <v>5</v>
      </c>
      <c r="I174">
        <v>424902</v>
      </c>
      <c r="J174">
        <v>2240688</v>
      </c>
      <c r="K174">
        <f t="shared" si="16"/>
        <v>0.15940260880330434</v>
      </c>
    </row>
    <row r="175" spans="1:11" x14ac:dyDescent="0.2">
      <c r="A175">
        <v>2025</v>
      </c>
      <c r="B175" t="s">
        <v>24</v>
      </c>
      <c r="C175" t="s">
        <v>30</v>
      </c>
      <c r="D175" t="str">
        <f t="shared" si="15"/>
        <v>11C 3030 6</v>
      </c>
      <c r="E175">
        <v>11</v>
      </c>
      <c r="F175">
        <v>3030</v>
      </c>
      <c r="G175">
        <v>6</v>
      </c>
      <c r="H175" t="s">
        <v>6</v>
      </c>
      <c r="I175">
        <v>500522</v>
      </c>
      <c r="J175">
        <v>1679218</v>
      </c>
      <c r="K175">
        <f t="shared" si="16"/>
        <v>0.22962463413067613</v>
      </c>
    </row>
    <row r="176" spans="1:11" x14ac:dyDescent="0.2">
      <c r="A176">
        <v>2025</v>
      </c>
      <c r="B176" t="s">
        <v>24</v>
      </c>
      <c r="C176" t="s">
        <v>31</v>
      </c>
      <c r="D176" t="str">
        <f t="shared" si="15"/>
        <v>11C 6060 4</v>
      </c>
      <c r="E176">
        <v>11</v>
      </c>
      <c r="F176">
        <v>6060</v>
      </c>
      <c r="G176">
        <v>4</v>
      </c>
      <c r="H176" t="s">
        <v>5</v>
      </c>
      <c r="I176">
        <v>907920</v>
      </c>
      <c r="J176">
        <v>1186674</v>
      </c>
      <c r="K176">
        <f t="shared" si="16"/>
        <v>0.43345870369150297</v>
      </c>
    </row>
    <row r="177" spans="1:11" x14ac:dyDescent="0.2">
      <c r="A177">
        <v>2025</v>
      </c>
      <c r="B177" t="s">
        <v>24</v>
      </c>
      <c r="C177" t="s">
        <v>32</v>
      </c>
      <c r="D177" t="str">
        <f t="shared" si="15"/>
        <v>11C 6060 4</v>
      </c>
      <c r="E177">
        <v>11</v>
      </c>
      <c r="F177">
        <v>6060</v>
      </c>
      <c r="G177">
        <v>4</v>
      </c>
      <c r="H177" t="s">
        <v>6</v>
      </c>
      <c r="I177">
        <v>524156</v>
      </c>
      <c r="J177">
        <v>1275847</v>
      </c>
      <c r="K177">
        <f t="shared" si="16"/>
        <v>0.29119729244895703</v>
      </c>
    </row>
    <row r="178" spans="1:11" x14ac:dyDescent="0.2">
      <c r="A178">
        <v>2025</v>
      </c>
      <c r="B178" t="s">
        <v>24</v>
      </c>
      <c r="C178" t="s">
        <v>33</v>
      </c>
      <c r="D178" t="str">
        <f t="shared" si="15"/>
        <v>11C 6060 5</v>
      </c>
      <c r="E178">
        <v>11</v>
      </c>
      <c r="F178">
        <v>6060</v>
      </c>
      <c r="G178">
        <v>5</v>
      </c>
      <c r="H178" t="s">
        <v>5</v>
      </c>
      <c r="I178">
        <v>622380</v>
      </c>
      <c r="J178">
        <v>1155992</v>
      </c>
      <c r="K178">
        <f t="shared" si="16"/>
        <v>0.34997177193523066</v>
      </c>
    </row>
    <row r="179" spans="1:11" x14ac:dyDescent="0.2">
      <c r="A179">
        <v>2025</v>
      </c>
      <c r="B179" t="s">
        <v>24</v>
      </c>
      <c r="C179" t="s">
        <v>34</v>
      </c>
      <c r="D179" t="str">
        <f t="shared" si="15"/>
        <v>11C 6060 5</v>
      </c>
      <c r="E179">
        <v>11</v>
      </c>
      <c r="F179">
        <v>6060</v>
      </c>
      <c r="G179">
        <v>5</v>
      </c>
      <c r="H179" t="s">
        <v>6</v>
      </c>
      <c r="I179">
        <v>661448</v>
      </c>
      <c r="J179">
        <v>1383063</v>
      </c>
      <c r="K179">
        <f t="shared" si="16"/>
        <v>0.32352381571926003</v>
      </c>
    </row>
    <row r="180" spans="1:11" x14ac:dyDescent="0.2">
      <c r="A180">
        <v>2025</v>
      </c>
      <c r="B180" t="s">
        <v>24</v>
      </c>
      <c r="C180" t="s">
        <v>35</v>
      </c>
      <c r="D180" t="str">
        <f t="shared" si="15"/>
        <v>11C 6060 6</v>
      </c>
      <c r="E180">
        <v>11</v>
      </c>
      <c r="F180">
        <v>6060</v>
      </c>
      <c r="G180">
        <v>6</v>
      </c>
      <c r="H180" t="s">
        <v>5</v>
      </c>
      <c r="I180">
        <v>802292</v>
      </c>
      <c r="J180">
        <v>1302761</v>
      </c>
      <c r="K180">
        <f t="shared" si="16"/>
        <v>0.38112674597741719</v>
      </c>
    </row>
    <row r="181" spans="1:11" x14ac:dyDescent="0.2">
      <c r="A181">
        <v>2025</v>
      </c>
      <c r="B181" t="s">
        <v>24</v>
      </c>
      <c r="C181" t="s">
        <v>36</v>
      </c>
      <c r="D181" t="str">
        <f t="shared" si="15"/>
        <v>11C 6060 6</v>
      </c>
      <c r="E181">
        <v>11</v>
      </c>
      <c r="F181">
        <v>6060</v>
      </c>
      <c r="G181">
        <v>6</v>
      </c>
      <c r="H181" t="s">
        <v>6</v>
      </c>
      <c r="I181">
        <v>711773</v>
      </c>
      <c r="J181">
        <v>1216168</v>
      </c>
      <c r="K181">
        <f t="shared" si="16"/>
        <v>0.36918816499052615</v>
      </c>
    </row>
    <row r="182" spans="1:11" x14ac:dyDescent="0.2">
      <c r="A182">
        <v>2025</v>
      </c>
      <c r="B182" t="s">
        <v>24</v>
      </c>
      <c r="C182" t="s">
        <v>37</v>
      </c>
      <c r="D182" t="str">
        <f t="shared" si="15"/>
        <v>8C 3030 4</v>
      </c>
      <c r="E182">
        <v>8</v>
      </c>
      <c r="F182">
        <v>3030</v>
      </c>
      <c r="G182">
        <v>4</v>
      </c>
      <c r="H182" t="s">
        <v>5</v>
      </c>
      <c r="I182">
        <v>346384</v>
      </c>
      <c r="J182">
        <v>1225563</v>
      </c>
      <c r="K182">
        <f t="shared" si="16"/>
        <v>0.22035348520020076</v>
      </c>
    </row>
    <row r="183" spans="1:11" x14ac:dyDescent="0.2">
      <c r="A183">
        <v>2025</v>
      </c>
      <c r="B183" t="s">
        <v>24</v>
      </c>
      <c r="C183" t="s">
        <v>38</v>
      </c>
      <c r="D183" t="str">
        <f t="shared" si="15"/>
        <v>8C 3030 4</v>
      </c>
      <c r="E183">
        <v>8</v>
      </c>
      <c r="F183">
        <v>3030</v>
      </c>
      <c r="G183">
        <v>4</v>
      </c>
      <c r="H183" t="s">
        <v>6</v>
      </c>
      <c r="I183">
        <v>447186</v>
      </c>
      <c r="J183">
        <v>1381519</v>
      </c>
      <c r="K183">
        <f t="shared" si="16"/>
        <v>0.2445369810877096</v>
      </c>
    </row>
    <row r="184" spans="1:11" x14ac:dyDescent="0.2">
      <c r="A184">
        <v>2025</v>
      </c>
      <c r="B184" t="s">
        <v>24</v>
      </c>
      <c r="C184" t="s">
        <v>39</v>
      </c>
      <c r="D184" t="str">
        <f t="shared" si="15"/>
        <v>8C 3030 5</v>
      </c>
      <c r="E184">
        <v>8</v>
      </c>
      <c r="F184">
        <v>3030</v>
      </c>
      <c r="G184">
        <v>5</v>
      </c>
      <c r="H184" t="s">
        <v>5</v>
      </c>
      <c r="I184">
        <v>415235</v>
      </c>
      <c r="J184">
        <v>1443531</v>
      </c>
      <c r="K184">
        <f t="shared" si="16"/>
        <v>0.22339283158826878</v>
      </c>
    </row>
    <row r="185" spans="1:11" x14ac:dyDescent="0.2">
      <c r="A185">
        <v>2025</v>
      </c>
      <c r="B185" t="s">
        <v>24</v>
      </c>
      <c r="C185" t="s">
        <v>40</v>
      </c>
      <c r="D185" t="str">
        <f t="shared" si="15"/>
        <v>8C 3030 5</v>
      </c>
      <c r="E185">
        <v>8</v>
      </c>
      <c r="F185">
        <v>3030</v>
      </c>
      <c r="G185">
        <v>5</v>
      </c>
      <c r="H185" t="s">
        <v>6</v>
      </c>
      <c r="I185">
        <v>221986</v>
      </c>
      <c r="J185">
        <f>1740794-I185</f>
        <v>1518808</v>
      </c>
      <c r="K185">
        <f t="shared" si="16"/>
        <v>0.12751997077195809</v>
      </c>
    </row>
    <row r="186" spans="1:11" x14ac:dyDescent="0.2">
      <c r="A186">
        <v>2025</v>
      </c>
      <c r="B186" t="s">
        <v>24</v>
      </c>
      <c r="C186" t="s">
        <v>41</v>
      </c>
      <c r="D186" t="str">
        <f t="shared" si="15"/>
        <v>8C 3030 6</v>
      </c>
      <c r="E186">
        <v>8</v>
      </c>
      <c r="F186">
        <v>3030</v>
      </c>
      <c r="G186">
        <v>6</v>
      </c>
      <c r="H186" t="s">
        <v>5</v>
      </c>
      <c r="I186">
        <v>261504</v>
      </c>
      <c r="J186">
        <f>1938215-I186</f>
        <v>1676711</v>
      </c>
      <c r="K186">
        <f t="shared" si="16"/>
        <v>0.13492001661322403</v>
      </c>
    </row>
    <row r="187" spans="1:11" x14ac:dyDescent="0.2">
      <c r="A187">
        <v>2025</v>
      </c>
      <c r="B187" t="s">
        <v>24</v>
      </c>
      <c r="C187" t="s">
        <v>42</v>
      </c>
      <c r="D187" t="str">
        <f t="shared" si="15"/>
        <v>8C 3030 6</v>
      </c>
      <c r="E187">
        <v>8</v>
      </c>
      <c r="F187">
        <v>3030</v>
      </c>
      <c r="G187">
        <v>6</v>
      </c>
      <c r="H187" t="s">
        <v>6</v>
      </c>
      <c r="I187">
        <v>503656</v>
      </c>
      <c r="J187">
        <f>1589042-I187</f>
        <v>1085386</v>
      </c>
      <c r="K187">
        <f t="shared" si="16"/>
        <v>0.31695575069759013</v>
      </c>
    </row>
    <row r="188" spans="1:11" x14ac:dyDescent="0.2">
      <c r="A188">
        <v>2025</v>
      </c>
      <c r="B188" t="s">
        <v>24</v>
      </c>
      <c r="C188" t="s">
        <v>43</v>
      </c>
      <c r="D188" t="str">
        <f>E188&amp;"C"&amp;" "&amp;F188&amp;" "&amp;G188</f>
        <v>8C 6060 4</v>
      </c>
      <c r="E188">
        <v>8</v>
      </c>
      <c r="F188">
        <v>6060</v>
      </c>
      <c r="G188">
        <v>4</v>
      </c>
      <c r="H188" t="s">
        <v>5</v>
      </c>
      <c r="I188">
        <v>507552</v>
      </c>
      <c r="J188">
        <v>1062339</v>
      </c>
      <c r="K188">
        <f t="shared" si="16"/>
        <v>0.32330397460715427</v>
      </c>
    </row>
    <row r="189" spans="1:11" x14ac:dyDescent="0.2">
      <c r="A189">
        <v>2025</v>
      </c>
      <c r="B189" t="s">
        <v>24</v>
      </c>
      <c r="C189" t="s">
        <v>44</v>
      </c>
      <c r="D189" t="str">
        <f t="shared" ref="D189:D205" si="17">E189&amp;"C"&amp;" "&amp;F189&amp;" "&amp;G189</f>
        <v>8C 6060 4</v>
      </c>
      <c r="E189">
        <v>8</v>
      </c>
      <c r="F189">
        <v>6060</v>
      </c>
      <c r="G189">
        <v>4</v>
      </c>
      <c r="H189" t="s">
        <v>6</v>
      </c>
      <c r="I189">
        <v>679782</v>
      </c>
      <c r="J189">
        <f>1925860-I189</f>
        <v>1246078</v>
      </c>
      <c r="K189">
        <f t="shared" si="16"/>
        <v>0.3529758134028434</v>
      </c>
    </row>
    <row r="190" spans="1:11" x14ac:dyDescent="0.2">
      <c r="A190">
        <v>2025</v>
      </c>
      <c r="B190" t="s">
        <v>24</v>
      </c>
      <c r="C190" t="s">
        <v>45</v>
      </c>
      <c r="D190" t="str">
        <f t="shared" si="17"/>
        <v>8C 6060 5</v>
      </c>
      <c r="E190">
        <v>8</v>
      </c>
      <c r="F190">
        <v>6060</v>
      </c>
      <c r="G190">
        <v>5</v>
      </c>
      <c r="H190" t="s">
        <v>5</v>
      </c>
      <c r="I190">
        <v>671631</v>
      </c>
      <c r="J190">
        <f>1952578-I190</f>
        <v>1280947</v>
      </c>
      <c r="K190">
        <f t="shared" si="16"/>
        <v>0.3439714060078522</v>
      </c>
    </row>
    <row r="191" spans="1:11" x14ac:dyDescent="0.2">
      <c r="A191">
        <v>2025</v>
      </c>
      <c r="B191" t="s">
        <v>24</v>
      </c>
      <c r="C191" t="s">
        <v>46</v>
      </c>
      <c r="D191" t="str">
        <f t="shared" si="17"/>
        <v>8C 6060 5</v>
      </c>
      <c r="E191">
        <v>8</v>
      </c>
      <c r="F191">
        <v>6060</v>
      </c>
      <c r="G191">
        <v>5</v>
      </c>
      <c r="H191" t="s">
        <v>6</v>
      </c>
      <c r="I191">
        <v>654822</v>
      </c>
      <c r="J191">
        <v>764820</v>
      </c>
      <c r="K191">
        <f t="shared" si="16"/>
        <v>0.46125854264666727</v>
      </c>
    </row>
    <row r="192" spans="1:11" x14ac:dyDescent="0.2">
      <c r="A192">
        <v>2025</v>
      </c>
      <c r="B192" t="s">
        <v>24</v>
      </c>
      <c r="C192" t="s">
        <v>47</v>
      </c>
      <c r="D192" t="str">
        <f t="shared" si="17"/>
        <v>8C 6060 6</v>
      </c>
      <c r="E192">
        <v>8</v>
      </c>
      <c r="F192">
        <v>6060</v>
      </c>
      <c r="G192">
        <v>6</v>
      </c>
      <c r="H192" t="s">
        <v>5</v>
      </c>
      <c r="I192">
        <f>502819-45587</f>
        <v>457232</v>
      </c>
      <c r="J192">
        <v>1186391</v>
      </c>
      <c r="K192">
        <f t="shared" si="16"/>
        <v>0.27818544763610631</v>
      </c>
    </row>
    <row r="193" spans="1:11" x14ac:dyDescent="0.2">
      <c r="A193">
        <v>2025</v>
      </c>
      <c r="B193" t="s">
        <v>24</v>
      </c>
      <c r="C193" t="s">
        <v>48</v>
      </c>
      <c r="D193" t="str">
        <f t="shared" si="17"/>
        <v>8C 6060 6</v>
      </c>
      <c r="E193">
        <v>8</v>
      </c>
      <c r="F193">
        <v>6060</v>
      </c>
      <c r="G193">
        <v>6</v>
      </c>
      <c r="H193" t="s">
        <v>6</v>
      </c>
      <c r="I193">
        <f>775827-236570</f>
        <v>539257</v>
      </c>
      <c r="J193">
        <v>783908</v>
      </c>
      <c r="K193">
        <f t="shared" si="16"/>
        <v>0.40755083455200219</v>
      </c>
    </row>
    <row r="194" spans="1:11" x14ac:dyDescent="0.2">
      <c r="A194">
        <v>2025</v>
      </c>
      <c r="B194" t="s">
        <v>24</v>
      </c>
      <c r="C194" t="s">
        <v>49</v>
      </c>
      <c r="D194" t="str">
        <f t="shared" si="17"/>
        <v>5C 3030 4</v>
      </c>
      <c r="E194">
        <v>5</v>
      </c>
      <c r="F194">
        <v>3030</v>
      </c>
      <c r="G194">
        <v>4</v>
      </c>
      <c r="H194" t="s">
        <v>5</v>
      </c>
      <c r="I194">
        <v>372883</v>
      </c>
      <c r="J194">
        <f>2009218-I194</f>
        <v>1636335</v>
      </c>
      <c r="K194">
        <f t="shared" si="16"/>
        <v>0.18558613351064943</v>
      </c>
    </row>
    <row r="195" spans="1:11" x14ac:dyDescent="0.2">
      <c r="A195">
        <v>2025</v>
      </c>
      <c r="B195" t="s">
        <v>24</v>
      </c>
      <c r="C195" t="s">
        <v>50</v>
      </c>
      <c r="D195" t="str">
        <f t="shared" si="17"/>
        <v>5C 3030 4</v>
      </c>
      <c r="E195">
        <v>5</v>
      </c>
      <c r="F195">
        <v>3030</v>
      </c>
      <c r="G195">
        <v>4</v>
      </c>
      <c r="H195" t="s">
        <v>6</v>
      </c>
      <c r="I195">
        <v>104473</v>
      </c>
      <c r="J195">
        <f>1559235-I195</f>
        <v>1454762</v>
      </c>
      <c r="K195">
        <f t="shared" si="16"/>
        <v>6.7002728902314276E-2</v>
      </c>
    </row>
    <row r="196" spans="1:11" x14ac:dyDescent="0.2">
      <c r="A196">
        <v>2025</v>
      </c>
      <c r="B196" t="s">
        <v>24</v>
      </c>
      <c r="C196" t="s">
        <v>51</v>
      </c>
      <c r="D196" t="str">
        <f t="shared" si="17"/>
        <v>5C 3030 5</v>
      </c>
      <c r="E196">
        <v>5</v>
      </c>
      <c r="F196">
        <v>3030</v>
      </c>
      <c r="G196">
        <v>5</v>
      </c>
      <c r="H196" t="s">
        <v>5</v>
      </c>
      <c r="I196">
        <f>355750-165110</f>
        <v>190640</v>
      </c>
      <c r="J196">
        <v>1310419</v>
      </c>
      <c r="K196">
        <f t="shared" si="16"/>
        <v>0.12700366874320063</v>
      </c>
    </row>
    <row r="197" spans="1:11" x14ac:dyDescent="0.2">
      <c r="A197">
        <v>2025</v>
      </c>
      <c r="B197" t="s">
        <v>24</v>
      </c>
      <c r="C197" t="s">
        <v>52</v>
      </c>
      <c r="D197" t="str">
        <f t="shared" si="17"/>
        <v>5C 3030 5</v>
      </c>
      <c r="E197">
        <v>5</v>
      </c>
      <c r="F197">
        <v>3030</v>
      </c>
      <c r="G197">
        <v>5</v>
      </c>
      <c r="H197" t="s">
        <v>6</v>
      </c>
      <c r="I197">
        <v>490415</v>
      </c>
      <c r="J197">
        <v>1384237</v>
      </c>
      <c r="K197">
        <f t="shared" si="16"/>
        <v>0.26160322022434029</v>
      </c>
    </row>
    <row r="198" spans="1:11" x14ac:dyDescent="0.2">
      <c r="A198">
        <v>2025</v>
      </c>
      <c r="B198" t="s">
        <v>24</v>
      </c>
      <c r="C198" t="s">
        <v>53</v>
      </c>
      <c r="D198" t="str">
        <f t="shared" si="17"/>
        <v>5C 3030 6</v>
      </c>
      <c r="E198">
        <v>5</v>
      </c>
      <c r="F198">
        <v>3030</v>
      </c>
      <c r="G198">
        <v>6</v>
      </c>
      <c r="H198" t="s">
        <v>5</v>
      </c>
      <c r="I198">
        <v>180827</v>
      </c>
      <c r="J198">
        <v>1464104</v>
      </c>
      <c r="K198">
        <f t="shared" si="16"/>
        <v>0.10992983900236544</v>
      </c>
    </row>
    <row r="199" spans="1:11" x14ac:dyDescent="0.2">
      <c r="A199">
        <v>2025</v>
      </c>
      <c r="B199" t="s">
        <v>24</v>
      </c>
      <c r="C199" t="s">
        <v>54</v>
      </c>
      <c r="D199" t="str">
        <f t="shared" si="17"/>
        <v>5C 3030 6</v>
      </c>
      <c r="E199">
        <v>5</v>
      </c>
      <c r="F199">
        <v>3030</v>
      </c>
      <c r="G199">
        <v>6</v>
      </c>
      <c r="H199" t="s">
        <v>6</v>
      </c>
      <c r="I199">
        <v>130555</v>
      </c>
      <c r="J199">
        <f>1248144-I199</f>
        <v>1117589</v>
      </c>
      <c r="K199">
        <f t="shared" si="16"/>
        <v>0.1045993090540835</v>
      </c>
    </row>
    <row r="200" spans="1:11" x14ac:dyDescent="0.2">
      <c r="A200">
        <v>2025</v>
      </c>
      <c r="B200" t="s">
        <v>24</v>
      </c>
      <c r="C200" t="s">
        <v>55</v>
      </c>
      <c r="D200" t="str">
        <f t="shared" si="17"/>
        <v>5C 6060 4</v>
      </c>
      <c r="E200">
        <v>5</v>
      </c>
      <c r="F200">
        <v>6060</v>
      </c>
      <c r="G200">
        <v>4</v>
      </c>
      <c r="H200" t="s">
        <v>5</v>
      </c>
      <c r="I200">
        <v>303970</v>
      </c>
      <c r="J200">
        <v>2185819</v>
      </c>
      <c r="K200">
        <f t="shared" si="16"/>
        <v>0.12208665071618519</v>
      </c>
    </row>
    <row r="201" spans="1:11" x14ac:dyDescent="0.2">
      <c r="A201">
        <v>2025</v>
      </c>
      <c r="B201" t="s">
        <v>24</v>
      </c>
      <c r="C201" t="s">
        <v>56</v>
      </c>
      <c r="D201" t="str">
        <f t="shared" si="17"/>
        <v>5C 6060 4</v>
      </c>
      <c r="E201">
        <v>5</v>
      </c>
      <c r="F201">
        <v>6060</v>
      </c>
      <c r="G201">
        <v>4</v>
      </c>
      <c r="H201" t="s">
        <v>6</v>
      </c>
      <c r="I201">
        <v>351240</v>
      </c>
      <c r="J201">
        <v>1949306</v>
      </c>
      <c r="K201">
        <f t="shared" si="16"/>
        <v>0.15267679933372338</v>
      </c>
    </row>
    <row r="202" spans="1:11" x14ac:dyDescent="0.2">
      <c r="A202">
        <v>2025</v>
      </c>
      <c r="B202" t="s">
        <v>24</v>
      </c>
      <c r="C202" t="s">
        <v>57</v>
      </c>
      <c r="D202" t="str">
        <f t="shared" si="17"/>
        <v>5C 6060 5</v>
      </c>
      <c r="E202">
        <v>5</v>
      </c>
      <c r="F202">
        <v>6060</v>
      </c>
      <c r="G202">
        <v>5</v>
      </c>
      <c r="H202" t="s">
        <v>5</v>
      </c>
      <c r="I202">
        <v>389518</v>
      </c>
      <c r="J202">
        <f>2212328-I202</f>
        <v>1822810</v>
      </c>
      <c r="K202">
        <f t="shared" si="16"/>
        <v>0.17606702080342518</v>
      </c>
    </row>
    <row r="203" spans="1:11" x14ac:dyDescent="0.2">
      <c r="A203">
        <v>2025</v>
      </c>
      <c r="B203" t="s">
        <v>24</v>
      </c>
      <c r="C203" t="s">
        <v>58</v>
      </c>
      <c r="D203" t="str">
        <f t="shared" si="17"/>
        <v>5C 6060 5</v>
      </c>
      <c r="E203">
        <v>5</v>
      </c>
      <c r="F203">
        <v>6060</v>
      </c>
      <c r="G203">
        <v>5</v>
      </c>
      <c r="H203" t="s">
        <v>6</v>
      </c>
      <c r="I203">
        <v>350373</v>
      </c>
      <c r="J203">
        <f>1953381-I203</f>
        <v>1603008</v>
      </c>
      <c r="K203">
        <f t="shared" si="16"/>
        <v>0.17936746594750333</v>
      </c>
    </row>
    <row r="204" spans="1:11" x14ac:dyDescent="0.2">
      <c r="A204">
        <v>2025</v>
      </c>
      <c r="B204" t="s">
        <v>24</v>
      </c>
      <c r="C204" t="s">
        <v>59</v>
      </c>
      <c r="D204" t="str">
        <f t="shared" si="17"/>
        <v>5C 6060 6</v>
      </c>
      <c r="E204">
        <v>5</v>
      </c>
      <c r="F204">
        <v>6060</v>
      </c>
      <c r="G204">
        <v>6</v>
      </c>
      <c r="H204" t="s">
        <v>5</v>
      </c>
      <c r="I204">
        <v>313348</v>
      </c>
      <c r="J204">
        <f>1825242-I204</f>
        <v>1511894</v>
      </c>
      <c r="K204">
        <f t="shared" si="16"/>
        <v>0.17167476970177106</v>
      </c>
    </row>
    <row r="205" spans="1:11" x14ac:dyDescent="0.2">
      <c r="A205">
        <v>2025</v>
      </c>
      <c r="B205" t="s">
        <v>24</v>
      </c>
      <c r="C205" t="s">
        <v>60</v>
      </c>
      <c r="D205" t="str">
        <f t="shared" si="17"/>
        <v>5C 6060 6</v>
      </c>
      <c r="E205">
        <v>5</v>
      </c>
      <c r="F205">
        <v>6060</v>
      </c>
      <c r="G205">
        <v>6</v>
      </c>
      <c r="H205" t="s">
        <v>6</v>
      </c>
      <c r="I205">
        <f>271182-139956</f>
        <v>131226</v>
      </c>
      <c r="J205">
        <v>1616165</v>
      </c>
      <c r="K205">
        <f t="shared" si="16"/>
        <v>7.5098246471453731E-2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Angela.Korabik</dc:creator>
  <cp:lastModifiedBy>Angela Korabik</cp:lastModifiedBy>
  <dcterms:created xsi:type="dcterms:W3CDTF">2024-12-10T01:07:44Z</dcterms:created>
  <dcterms:modified xsi:type="dcterms:W3CDTF">2026-10-26T21:45:29Z</dcterms:modified>
</cp:coreProperties>
</file>