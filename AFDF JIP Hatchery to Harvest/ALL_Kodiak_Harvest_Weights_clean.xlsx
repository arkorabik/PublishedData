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korabik/Desktop/1 H2H/ANALYSIS/H2H/data/"/>
    </mc:Choice>
  </mc:AlternateContent>
  <xr:revisionPtr revIDLastSave="0" documentId="8_{0E417F75-7663-3F40-B70D-C5987746F8CF}" xr6:coauthVersionLast="47" xr6:coauthVersionMax="47" xr10:uidLastSave="{00000000-0000-0000-0000-000000000000}"/>
  <bookViews>
    <workbookView xWindow="17360" yWindow="500" windowWidth="22260" windowHeight="16940" xr2:uid="{BD5DB4A8-16CF-574F-AB0F-323A09D88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L3" i="1"/>
  <c r="M3" i="1" s="1"/>
  <c r="L4" i="1"/>
  <c r="M4" i="1" s="1"/>
  <c r="L5" i="1"/>
  <c r="M5" i="1" s="1"/>
  <c r="L6" i="1"/>
  <c r="M6" i="1" s="1"/>
  <c r="L7" i="1"/>
  <c r="M7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7" i="1"/>
  <c r="M17" i="1" s="1"/>
  <c r="L18" i="1"/>
  <c r="M18" i="1" s="1"/>
  <c r="L2" i="1"/>
  <c r="M2" i="1" s="1"/>
  <c r="J19" i="1"/>
  <c r="L19" i="1" s="1"/>
  <c r="M19" i="1" s="1"/>
  <c r="I14" i="1"/>
  <c r="H14" i="1"/>
  <c r="I8" i="1"/>
  <c r="H8" i="1"/>
  <c r="H16" i="1"/>
  <c r="L16" i="1" s="1"/>
  <c r="L8" i="1" l="1"/>
  <c r="M8" i="1" s="1"/>
</calcChain>
</file>

<file path=xl/sharedStrings.xml><?xml version="1.0" encoding="utf-8"?>
<sst xmlns="http://schemas.openxmlformats.org/spreadsheetml/2006/main" count="56" uniqueCount="28">
  <si>
    <t>BladeWeight_g</t>
  </si>
  <si>
    <t>StipeWeight_g</t>
  </si>
  <si>
    <t>MeasuredSmallWeight</t>
  </si>
  <si>
    <t>UnmeasuredSmallWeight</t>
  </si>
  <si>
    <t>Number</t>
  </si>
  <si>
    <t>SpoolNo</t>
  </si>
  <si>
    <t>Light</t>
  </si>
  <si>
    <t>Temp</t>
  </si>
  <si>
    <t>TreatmentID</t>
  </si>
  <si>
    <t>Line</t>
  </si>
  <si>
    <t>North</t>
  </si>
  <si>
    <t>South</t>
  </si>
  <si>
    <t>lbs</t>
  </si>
  <si>
    <t>TotalWeight_g</t>
  </si>
  <si>
    <t>E</t>
  </si>
  <si>
    <t>F</t>
  </si>
  <si>
    <t>B</t>
  </si>
  <si>
    <t>N/A</t>
  </si>
  <si>
    <t>D</t>
  </si>
  <si>
    <t>C</t>
  </si>
  <si>
    <t>A</t>
  </si>
  <si>
    <t>I</t>
  </si>
  <si>
    <t>G</t>
  </si>
  <si>
    <t>J</t>
  </si>
  <si>
    <t>K</t>
  </si>
  <si>
    <t>H</t>
  </si>
  <si>
    <t>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</si>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</sst>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63E9-9BEA-044A-86D4-17BEBBA0036E}">
  <dimension ref="A1:M31"/>
  <sheetViews>
    <sheetView tabSelected="1" workbookViewId="0">
      <selection activeCell="M12" sqref="M12"/>
    </sheetView>
  </sheetViews>
  <sheetFormatPr baseColWidth="10" defaultRowHeight="16" x14ac:dyDescent="0.2"/>
  <cols>
    <col min="12" max="12" width="13.33203125" customWidth="1"/>
  </cols>
  <sheetData>
    <row r="1" spans="1:13" x14ac:dyDescent="0.2">
      <c r="A1" t="s">
        <v>27</v>
      </c>
      <c r="B1" t="s">
        <v>9</v>
      </c>
      <c r="C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t="s">
        <v>0</v>
      </c>
      <c r="I1" t="s">
        <v>1</v>
      </c>
      <c r="J1" t="s">
        <v>2</v>
      </c>
      <c r="K1" t="s">
        <v>3</v>
      </c>
      <c r="L1" t="s">
        <v>13</v>
      </c>
      <c r="M1" t="s">
        <v>12</v>
      </c>
    </row>
    <row r="2" spans="1:13" x14ac:dyDescent="0.2">
      <c r="A2">
        <v>2025</v>
      </c>
      <c r="B2" t="s">
        <v>10</v>
      </c>
      <c r="C2">
        <v>1</v>
      </c>
      <c r="D2" s="1">
        <v>11</v>
      </c>
      <c r="E2" s="1">
        <v>60</v>
      </c>
      <c r="F2" s="1">
        <v>3</v>
      </c>
      <c r="G2" s="1">
        <v>6</v>
      </c>
      <c r="J2">
        <v>3.8</v>
      </c>
      <c r="L2">
        <f>SUM(H2:K2)</f>
        <v>3.8</v>
      </c>
      <c r="M2">
        <f>L2*0.002205</f>
        <v>8.3789999999999993E-3</v>
      </c>
    </row>
    <row r="3" spans="1:13" x14ac:dyDescent="0.2">
      <c r="A3">
        <v>2025</v>
      </c>
      <c r="B3" t="s">
        <v>10</v>
      </c>
      <c r="C3">
        <v>2</v>
      </c>
      <c r="D3" s="1">
        <v>5</v>
      </c>
      <c r="E3" s="1">
        <v>60</v>
      </c>
      <c r="F3" s="1">
        <v>1</v>
      </c>
      <c r="G3" s="1">
        <v>4</v>
      </c>
      <c r="J3">
        <v>25.9</v>
      </c>
      <c r="L3">
        <f t="shared" ref="L3:L19" si="0">SUM(H3:K3)</f>
        <v>25.9</v>
      </c>
      <c r="M3">
        <f t="shared" ref="M3:M19" si="1">L3*0.002205</f>
        <v>5.7109499999999994E-2</v>
      </c>
    </row>
    <row r="4" spans="1:13" x14ac:dyDescent="0.2">
      <c r="A4">
        <v>2025</v>
      </c>
      <c r="B4" t="s">
        <v>10</v>
      </c>
      <c r="C4">
        <v>3</v>
      </c>
      <c r="D4" s="1">
        <v>5</v>
      </c>
      <c r="E4" s="1">
        <v>30</v>
      </c>
      <c r="F4" s="1">
        <v>1</v>
      </c>
      <c r="G4" s="1">
        <v>8</v>
      </c>
      <c r="H4">
        <v>3681.2</v>
      </c>
      <c r="I4">
        <v>583.1</v>
      </c>
      <c r="J4">
        <v>29.9</v>
      </c>
      <c r="L4">
        <f t="shared" si="0"/>
        <v>4294.2</v>
      </c>
      <c r="M4">
        <f t="shared" si="1"/>
        <v>9.468710999999999</v>
      </c>
    </row>
    <row r="5" spans="1:13" x14ac:dyDescent="0.2">
      <c r="A5">
        <v>2025</v>
      </c>
      <c r="B5" t="s">
        <v>10</v>
      </c>
      <c r="C5">
        <v>4</v>
      </c>
      <c r="D5" s="1">
        <v>8</v>
      </c>
      <c r="E5" s="1">
        <v>30</v>
      </c>
      <c r="F5" s="1">
        <v>1</v>
      </c>
      <c r="G5" s="1">
        <v>12</v>
      </c>
      <c r="J5">
        <v>3.2</v>
      </c>
      <c r="L5">
        <f t="shared" si="0"/>
        <v>3.2</v>
      </c>
      <c r="M5">
        <f t="shared" si="1"/>
        <v>7.0559999999999998E-3</v>
      </c>
    </row>
    <row r="6" spans="1:13" x14ac:dyDescent="0.2">
      <c r="A6">
        <v>2025</v>
      </c>
      <c r="B6" t="s">
        <v>10</v>
      </c>
      <c r="C6">
        <v>5</v>
      </c>
      <c r="D6" s="1">
        <v>11</v>
      </c>
      <c r="E6" s="1">
        <v>30</v>
      </c>
      <c r="F6" s="1">
        <v>3</v>
      </c>
      <c r="G6" s="1">
        <v>5</v>
      </c>
      <c r="J6">
        <v>24.6</v>
      </c>
      <c r="L6">
        <f t="shared" si="0"/>
        <v>24.6</v>
      </c>
      <c r="M6">
        <f t="shared" si="1"/>
        <v>5.4243E-2</v>
      </c>
    </row>
    <row r="7" spans="1:13" x14ac:dyDescent="0.2">
      <c r="A7">
        <v>2025</v>
      </c>
      <c r="B7" t="s">
        <v>10</v>
      </c>
      <c r="C7">
        <v>6</v>
      </c>
      <c r="D7" s="1">
        <v>8</v>
      </c>
      <c r="E7" s="1">
        <v>60</v>
      </c>
      <c r="F7" s="1">
        <v>3</v>
      </c>
      <c r="G7" s="1">
        <v>12</v>
      </c>
      <c r="J7">
        <v>14.1</v>
      </c>
      <c r="L7">
        <f t="shared" si="0"/>
        <v>14.1</v>
      </c>
      <c r="M7">
        <f t="shared" si="1"/>
        <v>3.1090499999999997E-2</v>
      </c>
    </row>
    <row r="8" spans="1:13" x14ac:dyDescent="0.2">
      <c r="A8">
        <v>2025</v>
      </c>
      <c r="B8" t="s">
        <v>10</v>
      </c>
      <c r="C8">
        <v>7</v>
      </c>
      <c r="D8" s="1">
        <v>5</v>
      </c>
      <c r="E8" s="1">
        <v>60</v>
      </c>
      <c r="F8" s="1">
        <v>2</v>
      </c>
      <c r="G8" s="1">
        <v>30</v>
      </c>
      <c r="H8">
        <f>3638.3+3178.1+2613.8+2757.2</f>
        <v>12187.400000000001</v>
      </c>
      <c r="I8">
        <f>1240.8+1327.2+1357.1</f>
        <v>3925.1</v>
      </c>
      <c r="J8">
        <v>305.89999999999998</v>
      </c>
      <c r="L8">
        <f t="shared" si="0"/>
        <v>16418.400000000001</v>
      </c>
      <c r="M8">
        <f t="shared" si="1"/>
        <v>36.202572000000004</v>
      </c>
    </row>
    <row r="9" spans="1:13" x14ac:dyDescent="0.2">
      <c r="A9">
        <v>2025</v>
      </c>
      <c r="B9" t="s">
        <v>10</v>
      </c>
      <c r="C9">
        <v>8</v>
      </c>
      <c r="D9" s="1">
        <v>11</v>
      </c>
      <c r="E9" s="1">
        <v>60</v>
      </c>
      <c r="F9" s="1">
        <v>1</v>
      </c>
      <c r="G9" s="1">
        <v>2</v>
      </c>
      <c r="J9">
        <v>173.7</v>
      </c>
      <c r="L9">
        <f t="shared" si="0"/>
        <v>173.7</v>
      </c>
      <c r="M9">
        <f t="shared" si="1"/>
        <v>0.38300849999999997</v>
      </c>
    </row>
    <row r="10" spans="1:13" x14ac:dyDescent="0.2">
      <c r="A10">
        <v>2025</v>
      </c>
      <c r="B10" t="s">
        <v>10</v>
      </c>
      <c r="C10">
        <v>9</v>
      </c>
      <c r="D10" s="1">
        <v>8</v>
      </c>
      <c r="E10" s="1">
        <v>30</v>
      </c>
      <c r="F10" s="1">
        <v>2</v>
      </c>
      <c r="G10" s="1">
        <v>0</v>
      </c>
      <c r="L10">
        <f t="shared" si="0"/>
        <v>0</v>
      </c>
      <c r="M10">
        <f t="shared" si="1"/>
        <v>0</v>
      </c>
    </row>
    <row r="11" spans="1:13" x14ac:dyDescent="0.2">
      <c r="A11">
        <v>2025</v>
      </c>
      <c r="B11" t="s">
        <v>11</v>
      </c>
      <c r="C11">
        <v>10</v>
      </c>
      <c r="D11" s="1">
        <v>8</v>
      </c>
      <c r="E11" s="1">
        <v>30</v>
      </c>
      <c r="F11" s="1">
        <v>3</v>
      </c>
      <c r="G11" s="1">
        <v>8</v>
      </c>
      <c r="J11">
        <v>3.2</v>
      </c>
      <c r="L11">
        <f t="shared" si="0"/>
        <v>3.2</v>
      </c>
      <c r="M11">
        <f t="shared" si="1"/>
        <v>7.0559999999999998E-3</v>
      </c>
    </row>
    <row r="12" spans="1:13" x14ac:dyDescent="0.2">
      <c r="A12">
        <v>2025</v>
      </c>
      <c r="B12" t="s">
        <v>11</v>
      </c>
      <c r="C12">
        <v>11</v>
      </c>
      <c r="D12" s="1">
        <v>8</v>
      </c>
      <c r="E12" s="1">
        <v>60</v>
      </c>
      <c r="F12" s="1">
        <v>2</v>
      </c>
      <c r="G12" s="1">
        <v>13</v>
      </c>
      <c r="J12">
        <v>82.1</v>
      </c>
      <c r="L12">
        <f t="shared" si="0"/>
        <v>82.1</v>
      </c>
      <c r="M12">
        <f t="shared" si="1"/>
        <v>0.18103049999999998</v>
      </c>
    </row>
    <row r="13" spans="1:13" x14ac:dyDescent="0.2">
      <c r="A13">
        <v>2025</v>
      </c>
      <c r="B13" t="s">
        <v>11</v>
      </c>
      <c r="C13">
        <v>12</v>
      </c>
      <c r="D13" s="1">
        <v>11</v>
      </c>
      <c r="E13" s="1">
        <v>30</v>
      </c>
      <c r="F13" s="1">
        <v>1</v>
      </c>
      <c r="G13" s="1">
        <v>14</v>
      </c>
      <c r="J13">
        <v>361.1</v>
      </c>
      <c r="L13">
        <f t="shared" si="0"/>
        <v>361.1</v>
      </c>
      <c r="M13">
        <f t="shared" si="1"/>
        <v>0.79622550000000003</v>
      </c>
    </row>
    <row r="14" spans="1:13" x14ac:dyDescent="0.2">
      <c r="A14">
        <v>2025</v>
      </c>
      <c r="B14" t="s">
        <v>11</v>
      </c>
      <c r="C14">
        <v>13</v>
      </c>
      <c r="D14" s="1">
        <v>5</v>
      </c>
      <c r="E14" s="1">
        <v>60</v>
      </c>
      <c r="F14" s="1">
        <v>3</v>
      </c>
      <c r="G14" s="1">
        <v>44</v>
      </c>
      <c r="H14">
        <f>2101.1+3897.4</f>
        <v>5998.5</v>
      </c>
      <c r="I14">
        <f>804.9+610.1</f>
        <v>1415</v>
      </c>
      <c r="J14">
        <v>37.799999999999997</v>
      </c>
      <c r="K14">
        <v>7.4</v>
      </c>
      <c r="L14">
        <f t="shared" si="0"/>
        <v>7458.7</v>
      </c>
      <c r="M14">
        <f t="shared" si="1"/>
        <v>16.446433499999998</v>
      </c>
    </row>
    <row r="15" spans="1:13" x14ac:dyDescent="0.2">
      <c r="A15">
        <v>2025</v>
      </c>
      <c r="B15" t="s">
        <v>11</v>
      </c>
      <c r="C15">
        <v>14</v>
      </c>
      <c r="D15" s="1">
        <v>11</v>
      </c>
      <c r="E15" s="1">
        <v>60</v>
      </c>
      <c r="F15" s="1">
        <v>2</v>
      </c>
      <c r="G15" s="1">
        <v>7</v>
      </c>
      <c r="J15">
        <v>130.1</v>
      </c>
      <c r="L15">
        <f t="shared" si="0"/>
        <v>130.1</v>
      </c>
      <c r="M15">
        <f t="shared" si="1"/>
        <v>0.28687049999999997</v>
      </c>
    </row>
    <row r="16" spans="1:13" x14ac:dyDescent="0.2">
      <c r="A16">
        <v>2025</v>
      </c>
      <c r="B16" t="s">
        <v>11</v>
      </c>
      <c r="C16">
        <v>15</v>
      </c>
      <c r="D16" s="1">
        <v>5</v>
      </c>
      <c r="E16" s="1">
        <v>30</v>
      </c>
      <c r="F16" s="1">
        <v>2</v>
      </c>
      <c r="G16" s="1">
        <v>28</v>
      </c>
      <c r="H16">
        <f>1933.2+3565.2</f>
        <v>5498.4</v>
      </c>
      <c r="I16">
        <v>965.2</v>
      </c>
      <c r="J16">
        <v>233.1</v>
      </c>
      <c r="K16">
        <v>0.8</v>
      </c>
      <c r="L16">
        <f t="shared" si="0"/>
        <v>6697.5</v>
      </c>
      <c r="M16">
        <f t="shared" si="1"/>
        <v>14.7679875</v>
      </c>
    </row>
    <row r="17" spans="1:13" x14ac:dyDescent="0.2">
      <c r="A17">
        <v>2025</v>
      </c>
      <c r="B17" t="s">
        <v>11</v>
      </c>
      <c r="C17">
        <v>16</v>
      </c>
      <c r="D17" s="1">
        <v>5</v>
      </c>
      <c r="E17" s="1">
        <v>30</v>
      </c>
      <c r="F17" s="1">
        <v>3</v>
      </c>
      <c r="G17" s="1">
        <v>12</v>
      </c>
      <c r="H17">
        <v>4558.3</v>
      </c>
      <c r="I17">
        <v>479.4</v>
      </c>
      <c r="J17">
        <v>45.17</v>
      </c>
      <c r="L17">
        <f t="shared" si="0"/>
        <v>5082.87</v>
      </c>
      <c r="M17">
        <f t="shared" si="1"/>
        <v>11.20772835</v>
      </c>
    </row>
    <row r="18" spans="1:13" x14ac:dyDescent="0.2">
      <c r="A18">
        <v>2025</v>
      </c>
      <c r="B18" t="s">
        <v>11</v>
      </c>
      <c r="C18">
        <v>17</v>
      </c>
      <c r="D18" s="1">
        <v>11</v>
      </c>
      <c r="E18" s="1">
        <v>30</v>
      </c>
      <c r="F18" s="1">
        <v>2</v>
      </c>
      <c r="G18" s="1">
        <v>16</v>
      </c>
      <c r="J18">
        <v>141.6</v>
      </c>
      <c r="L18">
        <f t="shared" si="0"/>
        <v>141.6</v>
      </c>
      <c r="M18">
        <f t="shared" si="1"/>
        <v>0.31222799999999995</v>
      </c>
    </row>
    <row r="19" spans="1:13" x14ac:dyDescent="0.2">
      <c r="A19">
        <v>2025</v>
      </c>
      <c r="B19" t="s">
        <v>11</v>
      </c>
      <c r="C19">
        <v>18</v>
      </c>
      <c r="D19" s="1">
        <v>8</v>
      </c>
      <c r="E19" s="1">
        <v>60</v>
      </c>
      <c r="F19" s="1">
        <v>1</v>
      </c>
      <c r="G19" s="1">
        <v>21</v>
      </c>
      <c r="J19">
        <f>419+162.7</f>
        <v>581.70000000000005</v>
      </c>
      <c r="L19">
        <f t="shared" si="0"/>
        <v>581.70000000000005</v>
      </c>
      <c r="M19">
        <f t="shared" si="1"/>
        <v>1.2826485000000001</v>
      </c>
    </row>
    <row r="20" spans="1:13" x14ac:dyDescent="0.2">
      <c r="A20">
        <v>2026</v>
      </c>
      <c r="B20" t="s">
        <v>10</v>
      </c>
      <c r="C20">
        <v>2</v>
      </c>
      <c r="D20">
        <v>8</v>
      </c>
      <c r="E20">
        <v>30</v>
      </c>
      <c r="F20" t="s">
        <v>14</v>
      </c>
      <c r="G20">
        <v>1</v>
      </c>
      <c r="H20">
        <v>1.1000000000000001</v>
      </c>
      <c r="I20">
        <v>2.5000000000000001E-2</v>
      </c>
      <c r="L20">
        <v>1.125</v>
      </c>
      <c r="M20">
        <v>2.4806249999999998E-3</v>
      </c>
    </row>
    <row r="21" spans="1:13" x14ac:dyDescent="0.2">
      <c r="A21">
        <v>2026</v>
      </c>
      <c r="B21" t="s">
        <v>10</v>
      </c>
      <c r="C21">
        <v>3</v>
      </c>
      <c r="D21">
        <v>5</v>
      </c>
      <c r="E21">
        <v>30</v>
      </c>
      <c r="F21" t="s">
        <v>15</v>
      </c>
      <c r="G21">
        <v>3</v>
      </c>
      <c r="H21">
        <v>1.92</v>
      </c>
      <c r="I21">
        <v>0.51</v>
      </c>
      <c r="L21">
        <v>2.4299999999999997</v>
      </c>
      <c r="M21">
        <v>5.358149999999999E-3</v>
      </c>
    </row>
    <row r="22" spans="1:13" x14ac:dyDescent="0.2">
      <c r="A22">
        <v>2026</v>
      </c>
      <c r="B22" t="s">
        <v>10</v>
      </c>
      <c r="C22">
        <v>4</v>
      </c>
      <c r="D22">
        <v>5</v>
      </c>
      <c r="E22">
        <v>60</v>
      </c>
      <c r="F22" t="s">
        <v>16</v>
      </c>
      <c r="G22">
        <v>54</v>
      </c>
      <c r="H22">
        <v>239.8</v>
      </c>
      <c r="I22">
        <v>55.8</v>
      </c>
      <c r="J22" t="s">
        <v>17</v>
      </c>
      <c r="K22">
        <v>28.7</v>
      </c>
      <c r="L22">
        <v>324.3</v>
      </c>
      <c r="M22">
        <v>0.71508150000000004</v>
      </c>
    </row>
    <row r="23" spans="1:13" x14ac:dyDescent="0.2">
      <c r="A23">
        <v>2026</v>
      </c>
      <c r="B23" t="s">
        <v>10</v>
      </c>
      <c r="C23">
        <v>6</v>
      </c>
      <c r="D23">
        <v>11</v>
      </c>
      <c r="E23">
        <v>30</v>
      </c>
      <c r="F23" t="s">
        <v>18</v>
      </c>
      <c r="G23">
        <v>7</v>
      </c>
      <c r="H23">
        <v>9.1999999999999993</v>
      </c>
      <c r="I23">
        <v>0.94</v>
      </c>
      <c r="J23">
        <v>0.376</v>
      </c>
      <c r="L23">
        <v>10.515999999999998</v>
      </c>
      <c r="M23">
        <v>2.3187779999999995E-2</v>
      </c>
    </row>
    <row r="24" spans="1:13" x14ac:dyDescent="0.2">
      <c r="A24">
        <v>2026</v>
      </c>
      <c r="B24" t="s">
        <v>10</v>
      </c>
      <c r="C24">
        <v>7</v>
      </c>
      <c r="D24">
        <v>11</v>
      </c>
      <c r="E24">
        <v>60</v>
      </c>
      <c r="F24" t="s">
        <v>19</v>
      </c>
      <c r="G24">
        <v>0</v>
      </c>
      <c r="L24">
        <v>0</v>
      </c>
      <c r="M24">
        <v>0</v>
      </c>
    </row>
    <row r="25" spans="1:13" x14ac:dyDescent="0.2">
      <c r="A25">
        <v>2026</v>
      </c>
      <c r="B25" t="s">
        <v>10</v>
      </c>
      <c r="C25">
        <v>8</v>
      </c>
      <c r="D25">
        <v>8</v>
      </c>
      <c r="E25">
        <v>60</v>
      </c>
      <c r="F25" t="s">
        <v>20</v>
      </c>
      <c r="G25">
        <v>3</v>
      </c>
      <c r="H25">
        <v>5.88</v>
      </c>
      <c r="I25">
        <v>0.76</v>
      </c>
      <c r="L25">
        <v>6.64</v>
      </c>
      <c r="M25">
        <v>1.4641199999999998E-2</v>
      </c>
    </row>
    <row r="26" spans="1:13" x14ac:dyDescent="0.2">
      <c r="A26">
        <v>2026</v>
      </c>
      <c r="B26" t="s">
        <v>11</v>
      </c>
      <c r="C26">
        <v>11</v>
      </c>
      <c r="D26">
        <v>11</v>
      </c>
      <c r="E26">
        <v>60</v>
      </c>
      <c r="F26" t="s">
        <v>21</v>
      </c>
      <c r="G26">
        <v>3</v>
      </c>
      <c r="J26">
        <v>4.6899999999999997E-2</v>
      </c>
      <c r="L26">
        <v>4.6899999999999997E-2</v>
      </c>
      <c r="M26">
        <v>1.0341449999999999E-4</v>
      </c>
    </row>
    <row r="27" spans="1:13" x14ac:dyDescent="0.2">
      <c r="A27">
        <v>2026</v>
      </c>
      <c r="B27" t="s">
        <v>11</v>
      </c>
      <c r="C27">
        <v>12</v>
      </c>
      <c r="D27">
        <v>8</v>
      </c>
      <c r="E27">
        <v>60</v>
      </c>
      <c r="F27" t="s">
        <v>22</v>
      </c>
      <c r="G27">
        <v>2</v>
      </c>
      <c r="J27">
        <v>0.31369999999999998</v>
      </c>
      <c r="L27">
        <v>0.31369999999999998</v>
      </c>
      <c r="M27">
        <v>6.9170849999999992E-4</v>
      </c>
    </row>
    <row r="28" spans="1:13" x14ac:dyDescent="0.2">
      <c r="A28">
        <v>2026</v>
      </c>
      <c r="B28" t="s">
        <v>11</v>
      </c>
      <c r="C28">
        <v>13</v>
      </c>
      <c r="D28">
        <v>11</v>
      </c>
      <c r="E28">
        <v>30</v>
      </c>
      <c r="F28" t="s">
        <v>23</v>
      </c>
      <c r="G28">
        <v>3</v>
      </c>
      <c r="H28">
        <v>1.75</v>
      </c>
      <c r="I28">
        <v>7.3999999999999996E-2</v>
      </c>
      <c r="J28">
        <v>2.3400000000000001E-2</v>
      </c>
      <c r="L28">
        <v>1.8474000000000002</v>
      </c>
      <c r="M28">
        <v>4.0735170000000005E-3</v>
      </c>
    </row>
    <row r="29" spans="1:13" x14ac:dyDescent="0.2">
      <c r="A29">
        <v>2026</v>
      </c>
      <c r="B29" t="s">
        <v>11</v>
      </c>
      <c r="C29">
        <v>15</v>
      </c>
      <c r="D29">
        <v>8</v>
      </c>
      <c r="E29">
        <v>30</v>
      </c>
      <c r="F29" t="s">
        <v>24</v>
      </c>
      <c r="G29">
        <v>1</v>
      </c>
      <c r="H29">
        <v>0.93</v>
      </c>
      <c r="I29">
        <v>7.4999999999999997E-2</v>
      </c>
      <c r="L29">
        <v>1.0050000000000001</v>
      </c>
      <c r="M29">
        <v>2.2160250000000004E-3</v>
      </c>
    </row>
    <row r="30" spans="1:13" x14ac:dyDescent="0.2">
      <c r="A30">
        <v>2026</v>
      </c>
      <c r="B30" t="s">
        <v>11</v>
      </c>
      <c r="C30">
        <v>16</v>
      </c>
      <c r="D30">
        <v>5</v>
      </c>
      <c r="E30">
        <v>60</v>
      </c>
      <c r="F30" t="s">
        <v>25</v>
      </c>
      <c r="G30">
        <v>4</v>
      </c>
      <c r="H30">
        <v>0.23</v>
      </c>
      <c r="I30">
        <v>0.37</v>
      </c>
      <c r="J30">
        <v>0.34699999999999998</v>
      </c>
      <c r="L30">
        <v>0.94699999999999995</v>
      </c>
      <c r="M30">
        <v>2.0881349999999996E-3</v>
      </c>
    </row>
    <row r="31" spans="1:13" x14ac:dyDescent="0.2">
      <c r="A31">
        <v>2026</v>
      </c>
      <c r="B31" t="s">
        <v>11</v>
      </c>
      <c r="C31">
        <v>17</v>
      </c>
      <c r="D31">
        <v>5</v>
      </c>
      <c r="E31">
        <v>30</v>
      </c>
      <c r="F31" t="s">
        <v>26</v>
      </c>
      <c r="G31">
        <v>1</v>
      </c>
      <c r="J31">
        <v>0.38200000000000001</v>
      </c>
      <c r="L31">
        <v>0.38200000000000001</v>
      </c>
      <c r="M31">
        <v>8.4230999999999998E-4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Korabik</dc:creator>
  <cp:lastModifiedBy>Angela Korabik</cp:lastModifiedBy>
  <dcterms:created xsi:type="dcterms:W3CDTF">2025-06-04T23:40:43Z</dcterms:created>
  <dcterms:modified xsi:type="dcterms:W3CDTF">2026-09-11T00:44:56Z</dcterms:modified>
</cp:coreProperties>
</file>